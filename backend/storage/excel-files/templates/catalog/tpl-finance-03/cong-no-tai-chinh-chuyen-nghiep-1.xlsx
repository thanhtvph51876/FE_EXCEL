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finance_Nhap_lieu" displayName="tbl_finance_Nhap_lieu" ref="A4:J64" headerRowCount="1">
  <autoFilter ref="A4:J64"/>
  <tableColumns count="10">
    <tableColumn id="1" name="Ngay"/>
    <tableColumn id="2" name="Bo phan"/>
    <tableColumn id="3" name="Hang muc"/>
    <tableColumn id="4" name="Ngan sach"/>
    <tableColumn id="5" name="Thuc te"/>
    <tableColumn id="6" name="Chenh lech"/>
    <tableColumn id="7" name="Ty le"/>
    <tableColumn id="8" name="Trang thai"/>
    <tableColumn id="9" name="Nguoi phu trac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finance" displayName="tbl_dict_finance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Cong no Tai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Cong no Tai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Bo phan</t>
        </is>
      </c>
      <c r="C4" s="8" t="inlineStr">
        <is>
          <t>Hang muc</t>
        </is>
      </c>
      <c r="D4" s="8" t="inlineStr">
        <is>
          <t>Ngan sach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Ty le</t>
        </is>
      </c>
      <c r="H4" s="8" t="inlineStr">
        <is>
          <t>Trang thai</t>
        </is>
      </c>
      <c r="I4" s="8" t="inlineStr">
        <is>
          <t>Nguoi phu trach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9" t="n">
        <v>46054</v>
      </c>
      <c r="D5" s="11" t="n">
        <v>2250000</v>
      </c>
      <c r="E5" s="11" t="n">
        <v>2250000</v>
      </c>
      <c r="F5" s="10">
        <f>E5-D5</f>
        <v/>
      </c>
      <c r="G5" s="12">
        <f>IFERROR(E5/D5,0)</f>
        <v/>
      </c>
      <c r="H5" s="10" t="inlineStr">
        <is>
          <t>Dang xu ly</t>
        </is>
      </c>
      <c r="I5" s="10" t="inlineStr">
        <is>
          <t>Tran Binh</t>
        </is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9" t="n">
        <v>46083</v>
      </c>
      <c r="D6" s="11" t="n">
        <v>3000000</v>
      </c>
      <c r="E6" s="11" t="n">
        <v>3000000</v>
      </c>
      <c r="F6" s="10">
        <f>E6-D6</f>
        <v/>
      </c>
      <c r="G6" s="12">
        <f>IFERROR(E6/D6,0)</f>
        <v/>
      </c>
      <c r="H6" s="10" t="inlineStr">
        <is>
          <t>Dung tien do</t>
        </is>
      </c>
      <c r="I6" s="10" t="inlineStr">
        <is>
          <t>Le Chi</t>
        </is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9" t="n">
        <v>46115</v>
      </c>
      <c r="D7" s="11" t="n">
        <v>3750000</v>
      </c>
      <c r="E7" s="11" t="n">
        <v>3750000</v>
      </c>
      <c r="F7" s="10">
        <f>E7-D7</f>
        <v/>
      </c>
      <c r="G7" s="12">
        <f>IFERROR(E7/D7,0)</f>
        <v/>
      </c>
      <c r="H7" s="10" t="inlineStr">
        <is>
          <t>Can chu y</t>
        </is>
      </c>
      <c r="I7" s="10" t="inlineStr">
        <is>
          <t>Pham Dung</t>
        </is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9" t="n">
        <v>46146</v>
      </c>
      <c r="D8" s="11" t="n">
        <v>4500000</v>
      </c>
      <c r="E8" s="11" t="n">
        <v>4500000</v>
      </c>
      <c r="F8" s="10">
        <f>E8-D8</f>
        <v/>
      </c>
      <c r="G8" s="12">
        <f>IFERROR(E8/D8,0)</f>
        <v/>
      </c>
      <c r="H8" s="10" t="inlineStr">
        <is>
          <t>Hoan tat</t>
        </is>
      </c>
      <c r="I8" s="10" t="inlineStr">
        <is>
          <t>Hoang Linh</t>
        </is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9" t="n">
        <v>46178</v>
      </c>
      <c r="D9" s="11" t="n">
        <v>5250000</v>
      </c>
      <c r="E9" s="11" t="n">
        <v>5250000</v>
      </c>
      <c r="F9" s="10">
        <f>E9-D9</f>
        <v/>
      </c>
      <c r="G9" s="12">
        <f>IFERROR(E9/D9,0)</f>
        <v/>
      </c>
      <c r="H9" s="10" t="inlineStr">
        <is>
          <t>Moi</t>
        </is>
      </c>
      <c r="I9" s="10" t="inlineStr">
        <is>
          <t>Do Mai</t>
        </is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9" t="n">
        <v>46209</v>
      </c>
      <c r="D10" s="11" t="n">
        <v>6000000</v>
      </c>
      <c r="E10" s="11" t="n">
        <v>6000000</v>
      </c>
      <c r="F10" s="10">
        <f>E10-D10</f>
        <v/>
      </c>
      <c r="G10" s="12">
        <f>IFERROR(E10/D10,0)</f>
        <v/>
      </c>
      <c r="H10" s="10" t="inlineStr">
        <is>
          <t>Dang xu ly</t>
        </is>
      </c>
      <c r="I10" s="10" t="inlineStr">
        <is>
          <t>Nguyen An</t>
        </is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9" t="n">
        <v>46241</v>
      </c>
      <c r="D11" s="11" t="n">
        <v>6750000</v>
      </c>
      <c r="E11" s="11" t="n">
        <v>6750000</v>
      </c>
      <c r="F11" s="10">
        <f>E11-D11</f>
        <v/>
      </c>
      <c r="G11" s="12">
        <f>IFERROR(E11/D11,0)</f>
        <v/>
      </c>
      <c r="H11" s="10" t="inlineStr">
        <is>
          <t>Dung tien do</t>
        </is>
      </c>
      <c r="I11" s="10" t="inlineStr">
        <is>
          <t>Tran Binh</t>
        </is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9" t="n">
        <v>46273</v>
      </c>
      <c r="D12" s="11" t="n">
        <v>7500000</v>
      </c>
      <c r="E12" s="11" t="n">
        <v>7500000</v>
      </c>
      <c r="F12" s="10">
        <f>E12-D12</f>
        <v/>
      </c>
      <c r="G12" s="12">
        <f>IFERROR(E12/D12,0)</f>
        <v/>
      </c>
      <c r="H12" s="10" t="inlineStr">
        <is>
          <t>Can chu y</t>
        </is>
      </c>
      <c r="I12" s="10" t="inlineStr">
        <is>
          <t>Le Chi</t>
        </is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9" t="n">
        <v>46304</v>
      </c>
      <c r="D13" s="11" t="n">
        <v>8250000</v>
      </c>
      <c r="E13" s="11" t="n">
        <v>8250000</v>
      </c>
      <c r="F13" s="10">
        <f>E13-D13</f>
        <v/>
      </c>
      <c r="G13" s="12">
        <f>IFERROR(E13/D13,0)</f>
        <v/>
      </c>
      <c r="H13" s="10" t="inlineStr">
        <is>
          <t>Hoan tat</t>
        </is>
      </c>
      <c r="I13" s="10" t="inlineStr">
        <is>
          <t>Pham Dung</t>
        </is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9" t="n">
        <v>46336</v>
      </c>
      <c r="D14" s="11" t="n">
        <v>9000000</v>
      </c>
      <c r="E14" s="11" t="n">
        <v>9000000</v>
      </c>
      <c r="F14" s="10">
        <f>E14-D14</f>
        <v/>
      </c>
      <c r="G14" s="12">
        <f>IFERROR(E14/D14,0)</f>
        <v/>
      </c>
      <c r="H14" s="10" t="inlineStr">
        <is>
          <t>Moi</t>
        </is>
      </c>
      <c r="I14" s="10" t="inlineStr">
        <is>
          <t>Hoang Linh</t>
        </is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9" t="n">
        <v>46367</v>
      </c>
      <c r="D15" s="11" t="n">
        <v>9750000</v>
      </c>
      <c r="E15" s="11" t="n">
        <v>9750000</v>
      </c>
      <c r="F15" s="10">
        <f>E15-D15</f>
        <v/>
      </c>
      <c r="G15" s="12">
        <f>IFERROR(E15/D15,0)</f>
        <v/>
      </c>
      <c r="H15" s="10" t="inlineStr">
        <is>
          <t>Dang xu ly</t>
        </is>
      </c>
      <c r="I15" s="10" t="inlineStr">
        <is>
          <t>Do Mai</t>
        </is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9" t="n">
        <v>46034</v>
      </c>
      <c r="D16" s="11" t="n">
        <v>10500000</v>
      </c>
      <c r="E16" s="11" t="n">
        <v>10500000</v>
      </c>
      <c r="F16" s="10">
        <f>E16-D16</f>
        <v/>
      </c>
      <c r="G16" s="12">
        <f>IFERROR(E16/D16,0)</f>
        <v/>
      </c>
      <c r="H16" s="10" t="inlineStr">
        <is>
          <t>Dung tien do</t>
        </is>
      </c>
      <c r="I16" s="10" t="inlineStr">
        <is>
          <t>Nguyen An</t>
        </is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9" t="n">
        <v>46066</v>
      </c>
      <c r="D17" s="11" t="n">
        <v>11250000</v>
      </c>
      <c r="E17" s="11" t="n">
        <v>11250000</v>
      </c>
      <c r="F17" s="10">
        <f>E17-D17</f>
        <v/>
      </c>
      <c r="G17" s="12">
        <f>IFERROR(E17/D17,0)</f>
        <v/>
      </c>
      <c r="H17" s="10" t="inlineStr">
        <is>
          <t>Can chu y</t>
        </is>
      </c>
      <c r="I17" s="10" t="inlineStr">
        <is>
          <t>Tran Binh</t>
        </is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9" t="n">
        <v>46095</v>
      </c>
      <c r="D18" s="11" t="n">
        <v>12000000</v>
      </c>
      <c r="E18" s="11" t="n">
        <v>12000000</v>
      </c>
      <c r="F18" s="10">
        <f>E18-D18</f>
        <v/>
      </c>
      <c r="G18" s="12">
        <f>IFERROR(E18/D18,0)</f>
        <v/>
      </c>
      <c r="H18" s="10" t="inlineStr">
        <is>
          <t>Hoan tat</t>
        </is>
      </c>
      <c r="I18" s="10" t="inlineStr">
        <is>
          <t>Le Chi</t>
        </is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9" t="n">
        <v>46127</v>
      </c>
      <c r="D19" s="11" t="n">
        <v>12750000</v>
      </c>
      <c r="E19" s="11" t="n">
        <v>12750000</v>
      </c>
      <c r="F19" s="10">
        <f>E19-D19</f>
        <v/>
      </c>
      <c r="G19" s="12">
        <f>IFERROR(E19/D19,0)</f>
        <v/>
      </c>
      <c r="H19" s="10" t="inlineStr">
        <is>
          <t>Moi</t>
        </is>
      </c>
      <c r="I19" s="10" t="inlineStr">
        <is>
          <t>Pham Dung</t>
        </is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9" t="n">
        <v>46158</v>
      </c>
      <c r="D20" s="11" t="n">
        <v>13500000</v>
      </c>
      <c r="E20" s="11" t="n">
        <v>13500000</v>
      </c>
      <c r="F20" s="10">
        <f>E20-D20</f>
        <v/>
      </c>
      <c r="G20" s="12">
        <f>IFERROR(E20/D20,0)</f>
        <v/>
      </c>
      <c r="H20" s="10" t="inlineStr">
        <is>
          <t>Dang xu ly</t>
        </is>
      </c>
      <c r="I20" s="10" t="inlineStr">
        <is>
          <t>Hoang Linh</t>
        </is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9" t="n">
        <v>46190</v>
      </c>
      <c r="D21" s="11" t="n">
        <v>14250000</v>
      </c>
      <c r="E21" s="11" t="n">
        <v>14250000</v>
      </c>
      <c r="F21" s="10">
        <f>E21-D21</f>
        <v/>
      </c>
      <c r="G21" s="12">
        <f>IFERROR(E21/D21,0)</f>
        <v/>
      </c>
      <c r="H21" s="10" t="inlineStr">
        <is>
          <t>Dung tien do</t>
        </is>
      </c>
      <c r="I21" s="10" t="inlineStr">
        <is>
          <t>Do Mai</t>
        </is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9" t="n">
        <v>46221</v>
      </c>
      <c r="D22" s="11" t="n">
        <v>15000000</v>
      </c>
      <c r="E22" s="11" t="n">
        <v>15000000</v>
      </c>
      <c r="F22" s="10">
        <f>E22-D22</f>
        <v/>
      </c>
      <c r="G22" s="12">
        <f>IFERROR(E22/D22,0)</f>
        <v/>
      </c>
      <c r="H22" s="10" t="inlineStr">
        <is>
          <t>Can chu y</t>
        </is>
      </c>
      <c r="I22" s="10" t="inlineStr">
        <is>
          <t>Nguyen An</t>
        </is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9" t="n">
        <v>46253</v>
      </c>
      <c r="D23" s="11" t="n">
        <v>15750000</v>
      </c>
      <c r="E23" s="11" t="n">
        <v>15750000</v>
      </c>
      <c r="F23" s="10">
        <f>E23-D23</f>
        <v/>
      </c>
      <c r="G23" s="12">
        <f>IFERROR(E23/D23,0)</f>
        <v/>
      </c>
      <c r="H23" s="10" t="inlineStr">
        <is>
          <t>Hoan tat</t>
        </is>
      </c>
      <c r="I23" s="10" t="inlineStr">
        <is>
          <t>Tran Binh</t>
        </is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9" t="n">
        <v>46285</v>
      </c>
      <c r="D24" s="11" t="n">
        <v>16500000</v>
      </c>
      <c r="E24" s="11" t="n">
        <v>16500000</v>
      </c>
      <c r="F24" s="10">
        <f>E24-D24</f>
        <v/>
      </c>
      <c r="G24" s="12">
        <f>IFERROR(E24/D24,0)</f>
        <v/>
      </c>
      <c r="H24" s="10" t="inlineStr">
        <is>
          <t>Moi</t>
        </is>
      </c>
      <c r="I24" s="10" t="inlineStr">
        <is>
          <t>Le Chi</t>
        </is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9" t="n">
        <v>46316</v>
      </c>
      <c r="D25" s="11" t="n">
        <v>17250000</v>
      </c>
      <c r="E25" s="11" t="n">
        <v>17250000</v>
      </c>
      <c r="F25" s="10">
        <f>E25-D25</f>
        <v/>
      </c>
      <c r="G25" s="12">
        <f>IFERROR(E25/D25,0)</f>
        <v/>
      </c>
      <c r="H25" s="10" t="inlineStr">
        <is>
          <t>Dang xu ly</t>
        </is>
      </c>
      <c r="I25" s="10" t="inlineStr">
        <is>
          <t>Pham Dung</t>
        </is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9" t="n">
        <v>46348</v>
      </c>
      <c r="D26" s="11" t="n">
        <v>18000000</v>
      </c>
      <c r="E26" s="11" t="n">
        <v>18000000</v>
      </c>
      <c r="F26" s="10">
        <f>E26-D26</f>
        <v/>
      </c>
      <c r="G26" s="12">
        <f>IFERROR(E26/D26,0)</f>
        <v/>
      </c>
      <c r="H26" s="10" t="inlineStr">
        <is>
          <t>Dung tien do</t>
        </is>
      </c>
      <c r="I26" s="10" t="inlineStr">
        <is>
          <t>Hoang Linh</t>
        </is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9" t="n">
        <v>46379</v>
      </c>
      <c r="D27" s="11" t="n">
        <v>18750000</v>
      </c>
      <c r="E27" s="11" t="n">
        <v>18750000</v>
      </c>
      <c r="F27" s="10">
        <f>E27-D27</f>
        <v/>
      </c>
      <c r="G27" s="12">
        <f>IFERROR(E27/D27,0)</f>
        <v/>
      </c>
      <c r="H27" s="10" t="inlineStr">
        <is>
          <t>Can chu y</t>
        </is>
      </c>
      <c r="I27" s="10" t="inlineStr">
        <is>
          <t>Do Mai</t>
        </is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9" t="n">
        <v>46046</v>
      </c>
      <c r="D28" s="11" t="n">
        <v>19500000</v>
      </c>
      <c r="E28" s="11" t="n">
        <v>19500000</v>
      </c>
      <c r="F28" s="10">
        <f>E28-D28</f>
        <v/>
      </c>
      <c r="G28" s="12">
        <f>IFERROR(E28/D28,0)</f>
        <v/>
      </c>
      <c r="H28" s="10" t="inlineStr">
        <is>
          <t>Hoan tat</t>
        </is>
      </c>
      <c r="I28" s="10" t="inlineStr">
        <is>
          <t>Nguyen An</t>
        </is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9" t="n">
        <v>46078</v>
      </c>
      <c r="D29" s="11" t="n">
        <v>20250000</v>
      </c>
      <c r="E29" s="11" t="n">
        <v>20250000</v>
      </c>
      <c r="F29" s="10">
        <f>E29-D29</f>
        <v/>
      </c>
      <c r="G29" s="12">
        <f>IFERROR(E29/D29,0)</f>
        <v/>
      </c>
      <c r="H29" s="10" t="inlineStr">
        <is>
          <t>Moi</t>
        </is>
      </c>
      <c r="I29" s="10" t="inlineStr">
        <is>
          <t>Tran Binh</t>
        </is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9" t="n">
        <v>46107</v>
      </c>
      <c r="D30" s="11" t="n">
        <v>21000000</v>
      </c>
      <c r="E30" s="11" t="n">
        <v>21000000</v>
      </c>
      <c r="F30" s="10">
        <f>E30-D30</f>
        <v/>
      </c>
      <c r="G30" s="12">
        <f>IFERROR(E30/D30,0)</f>
        <v/>
      </c>
      <c r="H30" s="10" t="inlineStr">
        <is>
          <t>Dang xu ly</t>
        </is>
      </c>
      <c r="I30" s="10" t="inlineStr">
        <is>
          <t>Le Chi</t>
        </is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9" t="n">
        <v>46139</v>
      </c>
      <c r="D31" s="11" t="n">
        <v>21750000</v>
      </c>
      <c r="E31" s="11" t="n">
        <v>21750000</v>
      </c>
      <c r="F31" s="10">
        <f>E31-D31</f>
        <v/>
      </c>
      <c r="G31" s="12">
        <f>IFERROR(E31/D31,0)</f>
        <v/>
      </c>
      <c r="H31" s="10" t="inlineStr">
        <is>
          <t>Dung tien do</t>
        </is>
      </c>
      <c r="I31" s="10" t="inlineStr">
        <is>
          <t>Pham Dung</t>
        </is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9" t="n">
        <v>46170</v>
      </c>
      <c r="D32" s="11" t="n">
        <v>22500000</v>
      </c>
      <c r="E32" s="11" t="n">
        <v>22500000</v>
      </c>
      <c r="F32" s="10">
        <f>E32-D32</f>
        <v/>
      </c>
      <c r="G32" s="12">
        <f>IFERROR(E32/D32,0)</f>
        <v/>
      </c>
      <c r="H32" s="10" t="inlineStr">
        <is>
          <t>Can chu y</t>
        </is>
      </c>
      <c r="I32" s="10" t="inlineStr">
        <is>
          <t>Hoang Linh</t>
        </is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9" t="n">
        <v>46201</v>
      </c>
      <c r="D33" s="11" t="n">
        <v>23250000</v>
      </c>
      <c r="E33" s="11" t="n">
        <v>23250000</v>
      </c>
      <c r="F33" s="10">
        <f>E33-D33</f>
        <v/>
      </c>
      <c r="G33" s="12">
        <f>IFERROR(E33/D33,0)</f>
        <v/>
      </c>
      <c r="H33" s="10" t="inlineStr">
        <is>
          <t>Hoan tat</t>
        </is>
      </c>
      <c r="I33" s="10" t="inlineStr">
        <is>
          <t>Do Mai</t>
        </is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9" t="n">
        <v>46231</v>
      </c>
      <c r="D34" s="11" t="n">
        <v>24000000</v>
      </c>
      <c r="E34" s="11" t="n">
        <v>24000000</v>
      </c>
      <c r="F34" s="10">
        <f>E34-D34</f>
        <v/>
      </c>
      <c r="G34" s="12">
        <f>IFERROR(E34/D34,0)</f>
        <v/>
      </c>
      <c r="H34" s="10" t="inlineStr">
        <is>
          <t>Moi</t>
        </is>
      </c>
      <c r="I34" s="10" t="inlineStr">
        <is>
          <t>Nguyen An</t>
        </is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9" t="n">
        <v>46262</v>
      </c>
      <c r="D35" s="11" t="n">
        <v>24750000</v>
      </c>
      <c r="E35" s="11" t="n">
        <v>24750000</v>
      </c>
      <c r="F35" s="10">
        <f>E35-D35</f>
        <v/>
      </c>
      <c r="G35" s="12">
        <f>IFERROR(E35/D35,0)</f>
        <v/>
      </c>
      <c r="H35" s="10" t="inlineStr">
        <is>
          <t>Dang xu ly</t>
        </is>
      </c>
      <c r="I35" s="10" t="inlineStr">
        <is>
          <t>Tran Binh</t>
        </is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9" t="n">
        <v>46293</v>
      </c>
      <c r="D36" s="11" t="n">
        <v>25500000</v>
      </c>
      <c r="E36" s="11" t="n">
        <v>25500000</v>
      </c>
      <c r="F36" s="10">
        <f>E36-D36</f>
        <v/>
      </c>
      <c r="G36" s="12">
        <f>IFERROR(E36/D36,0)</f>
        <v/>
      </c>
      <c r="H36" s="10" t="inlineStr">
        <is>
          <t>Dung tien do</t>
        </is>
      </c>
      <c r="I36" s="10" t="inlineStr">
        <is>
          <t>Le Chi</t>
        </is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9" t="n">
        <v>46323</v>
      </c>
      <c r="D37" s="11" t="n">
        <v>26250000</v>
      </c>
      <c r="E37" s="11" t="n">
        <v>26250000</v>
      </c>
      <c r="F37" s="10">
        <f>E37-D37</f>
        <v/>
      </c>
      <c r="G37" s="12">
        <f>IFERROR(E37/D37,0)</f>
        <v/>
      </c>
      <c r="H37" s="10" t="inlineStr">
        <is>
          <t>Can chu y</t>
        </is>
      </c>
      <c r="I37" s="10" t="inlineStr">
        <is>
          <t>Pham Dung</t>
        </is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9" t="n">
        <v>46354</v>
      </c>
      <c r="D38" s="11" t="n">
        <v>27000000</v>
      </c>
      <c r="E38" s="11" t="n">
        <v>27000000</v>
      </c>
      <c r="F38" s="10">
        <f>E38-D38</f>
        <v/>
      </c>
      <c r="G38" s="12">
        <f>IFERROR(E38/D38,0)</f>
        <v/>
      </c>
      <c r="H38" s="10" t="inlineStr">
        <is>
          <t>Hoan tat</t>
        </is>
      </c>
      <c r="I38" s="10" t="inlineStr">
        <is>
          <t>Hoang Linh</t>
        </is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9" t="n">
        <v>46384</v>
      </c>
      <c r="D39" s="11" t="n">
        <v>27750000</v>
      </c>
      <c r="E39" s="11" t="n">
        <v>27750000</v>
      </c>
      <c r="F39" s="10">
        <f>E39-D39</f>
        <v/>
      </c>
      <c r="G39" s="12">
        <f>IFERROR(E39/D39,0)</f>
        <v/>
      </c>
      <c r="H39" s="10" t="inlineStr">
        <is>
          <t>Moi</t>
        </is>
      </c>
      <c r="I39" s="10" t="inlineStr">
        <is>
          <t>Do Mai</t>
        </is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9" t="n">
        <v>46050</v>
      </c>
      <c r="D40" s="11" t="n">
        <v>28500000</v>
      </c>
      <c r="E40" s="11" t="n">
        <v>28500000</v>
      </c>
      <c r="F40" s="10">
        <f>E40-D40</f>
        <v/>
      </c>
      <c r="G40" s="12">
        <f>IFERROR(E40/D40,0)</f>
        <v/>
      </c>
      <c r="H40" s="10" t="inlineStr">
        <is>
          <t>Dang xu ly</t>
        </is>
      </c>
      <c r="I40" s="10" t="inlineStr">
        <is>
          <t>Nguyen An</t>
        </is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9" t="n">
        <v>46081</v>
      </c>
      <c r="D41" s="11" t="n">
        <v>29250000</v>
      </c>
      <c r="E41" s="11" t="n">
        <v>29250000</v>
      </c>
      <c r="F41" s="10">
        <f>E41-D41</f>
        <v/>
      </c>
      <c r="G41" s="12">
        <f>IFERROR(E41/D41,0)</f>
        <v/>
      </c>
      <c r="H41" s="10" t="inlineStr">
        <is>
          <t>Dung tien do</t>
        </is>
      </c>
      <c r="I41" s="10" t="inlineStr">
        <is>
          <t>Tran Binh</t>
        </is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9" t="n">
        <v>46109</v>
      </c>
      <c r="D42" s="11" t="n">
        <v>30000000</v>
      </c>
      <c r="E42" s="11" t="n">
        <v>30000000</v>
      </c>
      <c r="F42" s="10">
        <f>E42-D42</f>
        <v/>
      </c>
      <c r="G42" s="12">
        <f>IFERROR(E42/D42,0)</f>
        <v/>
      </c>
      <c r="H42" s="10" t="inlineStr">
        <is>
          <t>Can chu y</t>
        </is>
      </c>
      <c r="I42" s="10" t="inlineStr">
        <is>
          <t>Le Chi</t>
        </is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9" t="n">
        <v>46140</v>
      </c>
      <c r="D43" s="11" t="n">
        <v>30750000</v>
      </c>
      <c r="E43" s="11" t="n">
        <v>30750000</v>
      </c>
      <c r="F43" s="10">
        <f>E43-D43</f>
        <v/>
      </c>
      <c r="G43" s="12">
        <f>IFERROR(E43/D43,0)</f>
        <v/>
      </c>
      <c r="H43" s="10" t="inlineStr">
        <is>
          <t>Hoan tat</t>
        </is>
      </c>
      <c r="I43" s="10" t="inlineStr">
        <is>
          <t>Pham Dung</t>
        </is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9" t="n">
        <v>46170</v>
      </c>
      <c r="D44" s="11" t="n">
        <v>31500000</v>
      </c>
      <c r="E44" s="11" t="n">
        <v>31500000</v>
      </c>
      <c r="F44" s="10">
        <f>E44-D44</f>
        <v/>
      </c>
      <c r="G44" s="12">
        <f>IFERROR(E44/D44,0)</f>
        <v/>
      </c>
      <c r="H44" s="10" t="inlineStr">
        <is>
          <t>Moi</t>
        </is>
      </c>
      <c r="I44" s="10" t="inlineStr">
        <is>
          <t>Hoang Linh</t>
        </is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9" t="n">
        <v>46201</v>
      </c>
      <c r="D45" s="11" t="n">
        <v>32250000</v>
      </c>
      <c r="E45" s="11" t="n">
        <v>32250000</v>
      </c>
      <c r="F45" s="10">
        <f>E45-D45</f>
        <v/>
      </c>
      <c r="G45" s="12">
        <f>IFERROR(E45/D45,0)</f>
        <v/>
      </c>
      <c r="H45" s="10" t="inlineStr">
        <is>
          <t>Dang xu ly</t>
        </is>
      </c>
      <c r="I45" s="10" t="inlineStr">
        <is>
          <t>Do Mai</t>
        </is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9" t="n">
        <v>46231</v>
      </c>
      <c r="D46" s="11" t="n">
        <v>33000000</v>
      </c>
      <c r="E46" s="11" t="n">
        <v>33000000</v>
      </c>
      <c r="F46" s="10">
        <f>E46-D46</f>
        <v/>
      </c>
      <c r="G46" s="12">
        <f>IFERROR(E46/D46,0)</f>
        <v/>
      </c>
      <c r="H46" s="10" t="inlineStr">
        <is>
          <t>Dung tien do</t>
        </is>
      </c>
      <c r="I46" s="10" t="inlineStr">
        <is>
          <t>Nguyen An</t>
        </is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9" t="n">
        <v>46262</v>
      </c>
      <c r="D47" s="11" t="n">
        <v>33750000</v>
      </c>
      <c r="E47" s="11" t="n">
        <v>33750000</v>
      </c>
      <c r="F47" s="10">
        <f>E47-D47</f>
        <v/>
      </c>
      <c r="G47" s="12">
        <f>IFERROR(E47/D47,0)</f>
        <v/>
      </c>
      <c r="H47" s="10" t="inlineStr">
        <is>
          <t>Can chu y</t>
        </is>
      </c>
      <c r="I47" s="10" t="inlineStr">
        <is>
          <t>Tran Binh</t>
        </is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9" t="n">
        <v>46293</v>
      </c>
      <c r="D48" s="11" t="n">
        <v>34500000</v>
      </c>
      <c r="E48" s="11" t="n">
        <v>34500000</v>
      </c>
      <c r="F48" s="10">
        <f>E48-D48</f>
        <v/>
      </c>
      <c r="G48" s="12">
        <f>IFERROR(E48/D48,0)</f>
        <v/>
      </c>
      <c r="H48" s="10" t="inlineStr">
        <is>
          <t>Hoan tat</t>
        </is>
      </c>
      <c r="I48" s="10" t="inlineStr">
        <is>
          <t>Le Chi</t>
        </is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9" t="n">
        <v>46323</v>
      </c>
      <c r="D49" s="11" t="n">
        <v>35250000</v>
      </c>
      <c r="E49" s="11" t="n">
        <v>35250000</v>
      </c>
      <c r="F49" s="10">
        <f>E49-D49</f>
        <v/>
      </c>
      <c r="G49" s="12">
        <f>IFERROR(E49/D49,0)</f>
        <v/>
      </c>
      <c r="H49" s="10" t="inlineStr">
        <is>
          <t>Moi</t>
        </is>
      </c>
      <c r="I49" s="10" t="inlineStr">
        <is>
          <t>Pham Dung</t>
        </is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9" t="n">
        <v>46354</v>
      </c>
      <c r="D50" s="11" t="n">
        <v>36000000</v>
      </c>
      <c r="E50" s="11" t="n">
        <v>36000000</v>
      </c>
      <c r="F50" s="10">
        <f>E50-D50</f>
        <v/>
      </c>
      <c r="G50" s="12">
        <f>IFERROR(E50/D50,0)</f>
        <v/>
      </c>
      <c r="H50" s="10" t="inlineStr">
        <is>
          <t>Dang xu ly</t>
        </is>
      </c>
      <c r="I50" s="10" t="inlineStr">
        <is>
          <t>Hoang Linh</t>
        </is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9" t="n">
        <v>46384</v>
      </c>
      <c r="D51" s="11" t="n">
        <v>36750000</v>
      </c>
      <c r="E51" s="11" t="n">
        <v>36750000</v>
      </c>
      <c r="F51" s="10">
        <f>E51-D51</f>
        <v/>
      </c>
      <c r="G51" s="12">
        <f>IFERROR(E51/D51,0)</f>
        <v/>
      </c>
      <c r="H51" s="10" t="inlineStr">
        <is>
          <t>Dung tien do</t>
        </is>
      </c>
      <c r="I51" s="10" t="inlineStr">
        <is>
          <t>Do Mai</t>
        </is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9" t="n">
        <v>46050</v>
      </c>
      <c r="D52" s="11" t="n">
        <v>37500000</v>
      </c>
      <c r="E52" s="11" t="n">
        <v>37500000</v>
      </c>
      <c r="F52" s="10">
        <f>E52-D52</f>
        <v/>
      </c>
      <c r="G52" s="12">
        <f>IFERROR(E52/D52,0)</f>
        <v/>
      </c>
      <c r="H52" s="10" t="inlineStr">
        <is>
          <t>Can chu y</t>
        </is>
      </c>
      <c r="I52" s="10" t="inlineStr">
        <is>
          <t>Nguyen An</t>
        </is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9" t="n">
        <v>46081</v>
      </c>
      <c r="D53" s="11" t="n">
        <v>38250000</v>
      </c>
      <c r="E53" s="11" t="n">
        <v>38250000</v>
      </c>
      <c r="F53" s="10">
        <f>E53-D53</f>
        <v/>
      </c>
      <c r="G53" s="12">
        <f>IFERROR(E53/D53,0)</f>
        <v/>
      </c>
      <c r="H53" s="10" t="inlineStr">
        <is>
          <t>Hoan tat</t>
        </is>
      </c>
      <c r="I53" s="10" t="inlineStr">
        <is>
          <t>Tran Binh</t>
        </is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9" t="n">
        <v>46109</v>
      </c>
      <c r="D54" s="11" t="n">
        <v>39000000</v>
      </c>
      <c r="E54" s="11" t="n">
        <v>39000000</v>
      </c>
      <c r="F54" s="10">
        <f>E54-D54</f>
        <v/>
      </c>
      <c r="G54" s="12">
        <f>IFERROR(E54/D54,0)</f>
        <v/>
      </c>
      <c r="H54" s="10" t="inlineStr">
        <is>
          <t>Moi</t>
        </is>
      </c>
      <c r="I54" s="10" t="inlineStr">
        <is>
          <t>Le Chi</t>
        </is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9" t="n">
        <v>46140</v>
      </c>
      <c r="D55" s="11" t="n">
        <v>39750000</v>
      </c>
      <c r="E55" s="11" t="n">
        <v>39750000</v>
      </c>
      <c r="F55" s="10">
        <f>E55-D55</f>
        <v/>
      </c>
      <c r="G55" s="12">
        <f>IFERROR(E55/D55,0)</f>
        <v/>
      </c>
      <c r="H55" s="10" t="inlineStr">
        <is>
          <t>Dang xu ly</t>
        </is>
      </c>
      <c r="I55" s="10" t="inlineStr">
        <is>
          <t>Pham Dung</t>
        </is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9" t="n">
        <v>46170</v>
      </c>
      <c r="D56" s="11" t="n">
        <v>40500000</v>
      </c>
      <c r="E56" s="11" t="n">
        <v>40500000</v>
      </c>
      <c r="F56" s="10">
        <f>E56-D56</f>
        <v/>
      </c>
      <c r="G56" s="12">
        <f>IFERROR(E56/D56,0)</f>
        <v/>
      </c>
      <c r="H56" s="10" t="inlineStr">
        <is>
          <t>Dung tien do</t>
        </is>
      </c>
      <c r="I56" s="10" t="inlineStr">
        <is>
          <t>Hoang Linh</t>
        </is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9" t="n">
        <v>46201</v>
      </c>
      <c r="D57" s="11" t="n">
        <v>41250000</v>
      </c>
      <c r="E57" s="11" t="n">
        <v>41250000</v>
      </c>
      <c r="F57" s="10">
        <f>E57-D57</f>
        <v/>
      </c>
      <c r="G57" s="12">
        <f>IFERROR(E57/D57,0)</f>
        <v/>
      </c>
      <c r="H57" s="10" t="inlineStr">
        <is>
          <t>Can chu y</t>
        </is>
      </c>
      <c r="I57" s="10" t="inlineStr">
        <is>
          <t>Do Mai</t>
        </is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9" t="n">
        <v>46231</v>
      </c>
      <c r="D58" s="11" t="n">
        <v>42000000</v>
      </c>
      <c r="E58" s="11" t="n">
        <v>42000000</v>
      </c>
      <c r="F58" s="10">
        <f>E58-D58</f>
        <v/>
      </c>
      <c r="G58" s="12">
        <f>IFERROR(E58/D58,0)</f>
        <v/>
      </c>
      <c r="H58" s="10" t="inlineStr">
        <is>
          <t>Hoan tat</t>
        </is>
      </c>
      <c r="I58" s="10" t="inlineStr">
        <is>
          <t>Nguyen An</t>
        </is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9" t="n">
        <v>46262</v>
      </c>
      <c r="D59" s="11" t="n">
        <v>42750000</v>
      </c>
      <c r="E59" s="11" t="n">
        <v>42750000</v>
      </c>
      <c r="F59" s="10">
        <f>E59-D59</f>
        <v/>
      </c>
      <c r="G59" s="12">
        <f>IFERROR(E59/D59,0)</f>
        <v/>
      </c>
      <c r="H59" s="10" t="inlineStr">
        <is>
          <t>Moi</t>
        </is>
      </c>
      <c r="I59" s="10" t="inlineStr">
        <is>
          <t>Tran Binh</t>
        </is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9" t="n">
        <v>46293</v>
      </c>
      <c r="D60" s="11" t="n">
        <v>43500000</v>
      </c>
      <c r="E60" s="11" t="n">
        <v>43500000</v>
      </c>
      <c r="F60" s="10">
        <f>E60-D60</f>
        <v/>
      </c>
      <c r="G60" s="12">
        <f>IFERROR(E60/D60,0)</f>
        <v/>
      </c>
      <c r="H60" s="10" t="inlineStr">
        <is>
          <t>Dang xu ly</t>
        </is>
      </c>
      <c r="I60" s="10" t="inlineStr">
        <is>
          <t>Le Chi</t>
        </is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9" t="n">
        <v>46323</v>
      </c>
      <c r="D61" s="11" t="n">
        <v>44250000</v>
      </c>
      <c r="E61" s="11" t="n">
        <v>44250000</v>
      </c>
      <c r="F61" s="10">
        <f>E61-D61</f>
        <v/>
      </c>
      <c r="G61" s="12">
        <f>IFERROR(E61/D61,0)</f>
        <v/>
      </c>
      <c r="H61" s="10" t="inlineStr">
        <is>
          <t>Dung tien do</t>
        </is>
      </c>
      <c r="I61" s="10" t="inlineStr">
        <is>
          <t>Pham Dung</t>
        </is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9" t="n">
        <v>46354</v>
      </c>
      <c r="D62" s="11" t="n">
        <v>45000000</v>
      </c>
      <c r="E62" s="11" t="n">
        <v>45000000</v>
      </c>
      <c r="F62" s="10">
        <f>E62-D62</f>
        <v/>
      </c>
      <c r="G62" s="12">
        <f>IFERROR(E62/D62,0)</f>
        <v/>
      </c>
      <c r="H62" s="10" t="inlineStr">
        <is>
          <t>Can chu y</t>
        </is>
      </c>
      <c r="I62" s="10" t="inlineStr">
        <is>
          <t>Hoang Linh</t>
        </is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9" t="n">
        <v>46384</v>
      </c>
      <c r="D63" s="11" t="n">
        <v>45750000</v>
      </c>
      <c r="E63" s="11" t="n">
        <v>45750000</v>
      </c>
      <c r="F63" s="10">
        <f>E63-D63</f>
        <v/>
      </c>
      <c r="G63" s="12">
        <f>IFERROR(E63/D63,0)</f>
        <v/>
      </c>
      <c r="H63" s="10" t="inlineStr">
        <is>
          <t>Hoan tat</t>
        </is>
      </c>
      <c r="I63" s="10" t="inlineStr">
        <is>
          <t>Do Mai</t>
        </is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9" t="n">
        <v>46050</v>
      </c>
      <c r="D64" s="11" t="n">
        <v>46500000</v>
      </c>
      <c r="E64" s="11" t="n">
        <v>46500000</v>
      </c>
      <c r="F64" s="10">
        <f>E64-D64</f>
        <v/>
      </c>
      <c r="G64" s="12">
        <f>IFERROR(E64/D64,0)</f>
        <v/>
      </c>
      <c r="H64" s="10" t="inlineStr">
        <is>
          <t>Moi</t>
        </is>
      </c>
      <c r="I64" s="10" t="inlineStr">
        <is>
          <t>Nguyen An</t>
        </is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I5:I200" showDropDown="0" showInputMessage="0" showErrorMessage="0" allowBlank="1" type="list">
      <formula1>"Nguyen An,Tran Binh,Le Chi,Pham Dung,Hoang Linh,Do Mai"</formula1>
    </dataValidation>
    <dataValidation sqref="B5:B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Cong no Tai chinh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Tai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Bo phan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Hang muc</t>
        </is>
      </c>
      <c r="B7" s="2" t="inlineStr">
        <is>
          <t>Ngay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Ngan sach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Nguoi phu trach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Cong no Tai chinh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2026-06-15T03:36:54Z</dcterms:created>
  <dcterms:modified xsi:type="dcterms:W3CDTF">2026-06-15T03:36:54Z</dcterms:modified>
</cp:coreProperties>
</file>