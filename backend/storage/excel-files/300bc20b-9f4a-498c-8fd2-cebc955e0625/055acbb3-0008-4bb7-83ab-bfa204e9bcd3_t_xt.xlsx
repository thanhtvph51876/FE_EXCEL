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h\Downloads\"/>
    </mc:Choice>
  </mc:AlternateContent>
  <xr:revisionPtr revIDLastSave="0" documentId="8_{45A24254-D6F7-4A81-9251-9230E37599E7}" xr6:coauthVersionLast="47" xr6:coauthVersionMax="47" xr10:uidLastSave="{00000000-0000-0000-0000-000000000000}"/>
  <bookViews>
    <workbookView xWindow="-108" yWindow="-108" windowWidth="23256" windowHeight="12456" xr2:uid="{EDFA326D-46DD-46B5-B9EA-9D0D8F581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C10" i="1"/>
  <c r="BB10" i="1"/>
  <c r="BB9" i="1" s="1"/>
  <c r="BA10" i="1"/>
  <c r="BA9" i="1" s="1"/>
  <c r="AZ10" i="1"/>
  <c r="AZ9" i="1" s="1"/>
  <c r="AY10" i="1"/>
  <c r="AY9" i="1" s="1"/>
  <c r="AX10" i="1"/>
  <c r="AX9" i="1" s="1"/>
  <c r="AW10" i="1"/>
  <c r="AW9" i="1" s="1"/>
  <c r="AV10" i="1"/>
  <c r="AV9" i="1" s="1"/>
  <c r="AU10" i="1"/>
  <c r="AU9" i="1" s="1"/>
  <c r="AT10" i="1"/>
  <c r="AT9" i="1" s="1"/>
  <c r="AS10" i="1"/>
  <c r="AS9" i="1" s="1"/>
  <c r="AR10" i="1"/>
  <c r="AQ10" i="1"/>
  <c r="AQ9" i="1" s="1"/>
  <c r="AP10" i="1"/>
  <c r="AP9" i="1" s="1"/>
  <c r="AO10" i="1"/>
  <c r="AO9" i="1" s="1"/>
  <c r="AN10" i="1"/>
  <c r="AN9" i="1" s="1"/>
  <c r="AM10" i="1"/>
  <c r="AM9" i="1" s="1"/>
  <c r="AL10" i="1"/>
  <c r="AL9" i="1" s="1"/>
  <c r="AK10" i="1"/>
  <c r="AK9" i="1" s="1"/>
  <c r="AJ10" i="1"/>
  <c r="AJ9" i="1" s="1"/>
  <c r="AI10" i="1"/>
  <c r="AI9" i="1" s="1"/>
  <c r="AH10" i="1"/>
  <c r="AH9" i="1" s="1"/>
  <c r="AG10" i="1"/>
  <c r="AG9" i="1" s="1"/>
  <c r="AF10" i="1"/>
  <c r="AF9" i="1" s="1"/>
  <c r="AE10" i="1"/>
  <c r="AE9" i="1" s="1"/>
  <c r="AD10" i="1"/>
  <c r="AD9" i="1" s="1"/>
  <c r="AC10" i="1"/>
  <c r="AC9" i="1" s="1"/>
  <c r="AB10" i="1"/>
  <c r="AB9" i="1" s="1"/>
  <c r="AA10" i="1"/>
  <c r="AA9" i="1" s="1"/>
  <c r="Z10" i="1"/>
  <c r="Z9" i="1" s="1"/>
  <c r="Y10" i="1"/>
  <c r="Y9" i="1" s="1"/>
  <c r="X10" i="1"/>
  <c r="X9" i="1" s="1"/>
  <c r="W10" i="1"/>
  <c r="V10" i="1"/>
  <c r="V9" i="1" s="1"/>
  <c r="U10" i="1"/>
  <c r="U9" i="1" s="1"/>
  <c r="T10" i="1"/>
  <c r="T9" i="1" s="1"/>
  <c r="S10" i="1"/>
  <c r="S9" i="1" s="1"/>
  <c r="R10" i="1"/>
  <c r="R9" i="1" s="1"/>
  <c r="Q10" i="1"/>
  <c r="Q9" i="1" s="1"/>
  <c r="P10" i="1"/>
  <c r="P9" i="1" s="1"/>
  <c r="O10" i="1"/>
  <c r="O9" i="1" s="1"/>
  <c r="N10" i="1"/>
  <c r="N9" i="1" s="1"/>
  <c r="M10" i="1"/>
  <c r="M9" i="1" s="1"/>
  <c r="L10" i="1"/>
  <c r="L9" i="1" s="1"/>
  <c r="K10" i="1"/>
  <c r="K9" i="1" s="1"/>
  <c r="J10" i="1"/>
  <c r="J9" i="1" s="1"/>
  <c r="I10" i="1"/>
  <c r="I9" i="1" s="1"/>
  <c r="H10" i="1"/>
  <c r="H9" i="1" s="1"/>
  <c r="G10" i="1"/>
  <c r="G9" i="1" s="1"/>
  <c r="F10" i="1"/>
  <c r="F9" i="1" s="1"/>
  <c r="E10" i="1"/>
  <c r="E9" i="1" s="1"/>
  <c r="D10" i="1"/>
  <c r="D9" i="1" s="1"/>
  <c r="BC9" i="1"/>
  <c r="AR9" i="1"/>
  <c r="W9" i="1"/>
</calcChain>
</file>

<file path=xl/sharedStrings.xml><?xml version="1.0" encoding="utf-8"?>
<sst xmlns="http://schemas.openxmlformats.org/spreadsheetml/2006/main" count="156" uniqueCount="97">
  <si>
    <t xml:space="preserve">BÁO CÁO THỐNG KÊ CÔNG CHỨC HỆ THỐNG THI HÀNH ÁN DÂN SỰ 
(Số liệu tính đến ngày    /    /     )
</t>
  </si>
  <si>
    <t>Biên chế</t>
  </si>
  <si>
    <t>Đơn vị</t>
  </si>
  <si>
    <t>Đơn vị công tác</t>
  </si>
  <si>
    <t>Họ và tên</t>
  </si>
  <si>
    <t>Giới tính</t>
  </si>
  <si>
    <t xml:space="preserve"> Ngày, tháng, năm sinh</t>
  </si>
  <si>
    <t>Chức vụ đang giữ</t>
  </si>
  <si>
    <t xml:space="preserve">Ngày, tháng, năm bổ nhiệm lần đầu chức vụ đang giữ </t>
  </si>
  <si>
    <t>Kế toán trưởng</t>
  </si>
  <si>
    <t>Phụ trách kế toán</t>
  </si>
  <si>
    <t>Bố trí phụ trách kế toán</t>
  </si>
  <si>
    <t>Cơ cấu ngạch công chức</t>
  </si>
  <si>
    <t>Trình độ chuyên môn</t>
  </si>
  <si>
    <t>ĐẢNG, ĐOÀN</t>
  </si>
  <si>
    <t>DÂN TỘC</t>
  </si>
  <si>
    <t>Hệ đào tạo đại học</t>
  </si>
  <si>
    <t>Biệt phái (ở ngoài ngành, không phải là công chức thuộc quản lý của Bộ Tư pháp</t>
  </si>
  <si>
    <t>Ghi chú</t>
  </si>
  <si>
    <t>Cấp trưởng</t>
  </si>
  <si>
    <t>Cấp phó</t>
  </si>
  <si>
    <t>CHV cao cấp</t>
  </si>
  <si>
    <t>CHV trung cấp</t>
  </si>
  <si>
    <t>CHV Sơ cấp</t>
  </si>
  <si>
    <t>Thẩm tra viên cao cấp</t>
  </si>
  <si>
    <t>Thẩm tra viên chính</t>
  </si>
  <si>
    <t xml:space="preserve">Thẩm tra viên </t>
  </si>
  <si>
    <t>Thư ký THA</t>
  </si>
  <si>
    <t xml:space="preserve">Thư ký trung cấp THA </t>
  </si>
  <si>
    <t>Chuyên viên cao cấp</t>
  </si>
  <si>
    <t xml:space="preserve">Chuyên viên chính </t>
  </si>
  <si>
    <t xml:space="preserve">Chuyên viên </t>
  </si>
  <si>
    <t>Cán sự</t>
  </si>
  <si>
    <t>Nhân viên</t>
  </si>
  <si>
    <t>Văn thư viên</t>
  </si>
  <si>
    <t>Văn thư trung cấp</t>
  </si>
  <si>
    <t>Kế toán viên chính</t>
  </si>
  <si>
    <t>Kế toán viên</t>
  </si>
  <si>
    <t>Kế toán viên trung cấp</t>
  </si>
  <si>
    <t>Các ngạch còn lại</t>
  </si>
  <si>
    <t>Chuyên ngành Luật</t>
  </si>
  <si>
    <t>Chuyên ngành khác</t>
  </si>
  <si>
    <t>Đảng viên</t>
  </si>
  <si>
    <t>Còn lại</t>
  </si>
  <si>
    <t>Kinh</t>
  </si>
  <si>
    <t>Khác</t>
  </si>
  <si>
    <t>Chính quy</t>
  </si>
  <si>
    <t>Ngày</t>
  </si>
  <si>
    <t xml:space="preserve">Tháng </t>
  </si>
  <si>
    <t>Năm</t>
  </si>
  <si>
    <t>Trưởng</t>
  </si>
  <si>
    <t>Quyền</t>
  </si>
  <si>
    <t>Tiến sỹ</t>
  </si>
  <si>
    <t>Thạc sỹ</t>
  </si>
  <si>
    <t>Cử nhân</t>
  </si>
  <si>
    <t>Cao đẳng</t>
  </si>
  <si>
    <t xml:space="preserve">Trung cấp </t>
  </si>
  <si>
    <t>Hệ thống THADS</t>
  </si>
  <si>
    <t>TỔNG</t>
  </si>
  <si>
    <t>I</t>
  </si>
  <si>
    <t>Cục QLTHADS</t>
  </si>
  <si>
    <t>Lãnh đạo Cục</t>
  </si>
  <si>
    <t>Nguyễn Thắng Lợi</t>
  </si>
  <si>
    <t>Nam</t>
  </si>
  <si>
    <t>12</t>
  </si>
  <si>
    <t>1973</t>
  </si>
  <si>
    <t>01</t>
  </si>
  <si>
    <t>7</t>
  </si>
  <si>
    <t>2025</t>
  </si>
  <si>
    <t>Trần Thị Phương Hoa</t>
  </si>
  <si>
    <t>Nữ</t>
  </si>
  <si>
    <t>Nguyễn Thị Hoàng Giang</t>
  </si>
  <si>
    <t>26</t>
  </si>
  <si>
    <t>6</t>
  </si>
  <si>
    <t>1982</t>
  </si>
  <si>
    <t>Phan Huy Hiếu</t>
  </si>
  <si>
    <t>06</t>
  </si>
  <si>
    <t>1978</t>
  </si>
  <si>
    <t>2026</t>
  </si>
  <si>
    <t>Ban Pháp chế và Nghiệp vụ THADS</t>
  </si>
  <si>
    <t>Nguyễn Văn Việt</t>
  </si>
  <si>
    <t>25</t>
  </si>
  <si>
    <t>11</t>
  </si>
  <si>
    <t>1976</t>
  </si>
  <si>
    <t>Trần Thị Lan Hương</t>
  </si>
  <si>
    <t>16</t>
  </si>
  <si>
    <t>3</t>
  </si>
  <si>
    <t>1974</t>
  </si>
  <si>
    <t>Nguyễn Thị Kim Quy</t>
  </si>
  <si>
    <t>17</t>
  </si>
  <si>
    <t>1979</t>
  </si>
  <si>
    <t>Đặng Thị Hồng Nhung</t>
  </si>
  <si>
    <t>20</t>
  </si>
  <si>
    <t>1983</t>
  </si>
  <si>
    <t>Dương Thị Thục</t>
  </si>
  <si>
    <t>13</t>
  </si>
  <si>
    <t>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</si>
</sst>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4"/>
      <name val="Times New Roman"/>
      <family val="1"/>
    </font>
    <font>
      <sz val="8"/>
      <name val="Aptos Narrow"/>
      <family val="2"/>
      <charset val="163"/>
      <scheme val="minor"/>
    </font>
    <font>
      <b/>
      <sz val="8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sz val="10"/>
      <name val=".Vn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3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textRotation="90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3" fontId="7" fillId="2" borderId="1" xfId="2" applyNumberFormat="1" applyFont="1" applyFill="1" applyBorder="1" applyAlignment="1">
      <alignment horizontal="left" vertical="center" wrapText="1"/>
    </xf>
    <xf numFmtId="3" fontId="7" fillId="2" borderId="1" xfId="2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43" fontId="7" fillId="2" borderId="1" xfId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Sheet1" xfId="2" xr:uid="{29F28C96-280D-4EE0-8F4C-2A17C798D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33C3-B67B-4550-A0B0-79A173D493C9}">
  <dimension ref="A1:BC19"/>
  <sheetViews>
    <sheetView tabSelected="1" zoomScale="70" zoomScaleNormal="70" workbookViewId="0">
      <selection sqref="A1:BC19"/>
    </sheetView>
  </sheetViews>
  <sheetFormatPr defaultRowHeight="14.4"/>
  <sheetData>
    <row r="1" spans="1:5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4" t="s">
        <v>1</v>
      </c>
      <c r="B5" s="5" t="s">
        <v>2</v>
      </c>
      <c r="C5" s="5" t="s">
        <v>2</v>
      </c>
      <c r="D5" s="6" t="s">
        <v>3</v>
      </c>
      <c r="E5" s="4" t="s">
        <v>4</v>
      </c>
      <c r="F5" s="4" t="s">
        <v>5</v>
      </c>
      <c r="G5" s="4" t="s">
        <v>6</v>
      </c>
      <c r="H5" s="4"/>
      <c r="I5" s="4"/>
      <c r="J5" s="4" t="s">
        <v>7</v>
      </c>
      <c r="K5" s="4"/>
      <c r="L5" s="4"/>
      <c r="M5" s="4" t="s">
        <v>8</v>
      </c>
      <c r="N5" s="4"/>
      <c r="O5" s="4"/>
      <c r="P5" s="7" t="s">
        <v>9</v>
      </c>
      <c r="Q5" s="7" t="s">
        <v>10</v>
      </c>
      <c r="R5" s="7" t="s">
        <v>11</v>
      </c>
      <c r="S5" s="8" t="s">
        <v>12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8" t="s">
        <v>13</v>
      </c>
      <c r="AM5" s="9"/>
      <c r="AN5" s="9"/>
      <c r="AO5" s="9"/>
      <c r="AP5" s="9"/>
      <c r="AQ5" s="9"/>
      <c r="AR5" s="9"/>
      <c r="AS5" s="9"/>
      <c r="AT5" s="9"/>
      <c r="AU5" s="10"/>
      <c r="AV5" s="8" t="s">
        <v>14</v>
      </c>
      <c r="AW5" s="10"/>
      <c r="AX5" s="8" t="s">
        <v>15</v>
      </c>
      <c r="AY5" s="10"/>
      <c r="AZ5" s="8" t="s">
        <v>16</v>
      </c>
      <c r="BA5" s="10"/>
      <c r="BB5" s="11" t="s">
        <v>17</v>
      </c>
      <c r="BC5" s="12" t="s">
        <v>18</v>
      </c>
    </row>
    <row r="6" spans="1:55">
      <c r="A6" s="4"/>
      <c r="B6" s="5"/>
      <c r="C6" s="5"/>
      <c r="D6" s="6"/>
      <c r="E6" s="4"/>
      <c r="F6" s="4"/>
      <c r="G6" s="4"/>
      <c r="H6" s="4"/>
      <c r="I6" s="4"/>
      <c r="J6" s="4" t="s">
        <v>19</v>
      </c>
      <c r="K6" s="4"/>
      <c r="L6" s="7" t="s">
        <v>20</v>
      </c>
      <c r="M6" s="4"/>
      <c r="N6" s="4"/>
      <c r="O6" s="4"/>
      <c r="P6" s="7"/>
      <c r="Q6" s="7"/>
      <c r="R6" s="7"/>
      <c r="S6" s="13" t="s">
        <v>21</v>
      </c>
      <c r="T6" s="13" t="s">
        <v>22</v>
      </c>
      <c r="U6" s="13" t="s">
        <v>23</v>
      </c>
      <c r="V6" s="13" t="s">
        <v>24</v>
      </c>
      <c r="W6" s="13" t="s">
        <v>25</v>
      </c>
      <c r="X6" s="13" t="s">
        <v>26</v>
      </c>
      <c r="Y6" s="13" t="s">
        <v>27</v>
      </c>
      <c r="Z6" s="13" t="s">
        <v>28</v>
      </c>
      <c r="AA6" s="13" t="s">
        <v>29</v>
      </c>
      <c r="AB6" s="13" t="s">
        <v>30</v>
      </c>
      <c r="AC6" s="13" t="s">
        <v>31</v>
      </c>
      <c r="AD6" s="13" t="s">
        <v>32</v>
      </c>
      <c r="AE6" s="13" t="s">
        <v>33</v>
      </c>
      <c r="AF6" s="13" t="s">
        <v>34</v>
      </c>
      <c r="AG6" s="13" t="s">
        <v>35</v>
      </c>
      <c r="AH6" s="13" t="s">
        <v>36</v>
      </c>
      <c r="AI6" s="13" t="s">
        <v>37</v>
      </c>
      <c r="AJ6" s="13" t="s">
        <v>38</v>
      </c>
      <c r="AK6" s="13" t="s">
        <v>39</v>
      </c>
      <c r="AL6" s="8" t="s">
        <v>40</v>
      </c>
      <c r="AM6" s="9"/>
      <c r="AN6" s="9"/>
      <c r="AO6" s="9"/>
      <c r="AP6" s="10"/>
      <c r="AQ6" s="8" t="s">
        <v>41</v>
      </c>
      <c r="AR6" s="9"/>
      <c r="AS6" s="9"/>
      <c r="AT6" s="9"/>
      <c r="AU6" s="10"/>
      <c r="AV6" s="13" t="s">
        <v>42</v>
      </c>
      <c r="AW6" s="13" t="s">
        <v>43</v>
      </c>
      <c r="AX6" s="13" t="s">
        <v>44</v>
      </c>
      <c r="AY6" s="13" t="s">
        <v>45</v>
      </c>
      <c r="AZ6" s="13" t="s">
        <v>46</v>
      </c>
      <c r="BA6" s="13" t="s">
        <v>45</v>
      </c>
      <c r="BB6" s="14"/>
      <c r="BC6" s="15"/>
    </row>
    <row r="7" spans="1:55" ht="15">
      <c r="A7" s="4"/>
      <c r="B7" s="5"/>
      <c r="C7" s="5"/>
      <c r="D7" s="6"/>
      <c r="E7" s="4"/>
      <c r="F7" s="4"/>
      <c r="G7" s="16" t="s">
        <v>47</v>
      </c>
      <c r="H7" s="16" t="s">
        <v>48</v>
      </c>
      <c r="I7" s="16" t="s">
        <v>49</v>
      </c>
      <c r="J7" s="17" t="s">
        <v>50</v>
      </c>
      <c r="K7" s="17" t="s">
        <v>51</v>
      </c>
      <c r="L7" s="7"/>
      <c r="M7" s="16" t="s">
        <v>47</v>
      </c>
      <c r="N7" s="16" t="s">
        <v>48</v>
      </c>
      <c r="O7" s="16" t="s">
        <v>49</v>
      </c>
      <c r="P7" s="7"/>
      <c r="Q7" s="7"/>
      <c r="R7" s="7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7" t="s">
        <v>52</v>
      </c>
      <c r="AM7" s="17" t="s">
        <v>53</v>
      </c>
      <c r="AN7" s="17" t="s">
        <v>54</v>
      </c>
      <c r="AO7" s="17" t="s">
        <v>55</v>
      </c>
      <c r="AP7" s="17" t="s">
        <v>56</v>
      </c>
      <c r="AQ7" s="17" t="s">
        <v>52</v>
      </c>
      <c r="AR7" s="17" t="s">
        <v>53</v>
      </c>
      <c r="AS7" s="17" t="s">
        <v>54</v>
      </c>
      <c r="AT7" s="17" t="s">
        <v>55</v>
      </c>
      <c r="AU7" s="17" t="s">
        <v>56</v>
      </c>
      <c r="AV7" s="18"/>
      <c r="AW7" s="18"/>
      <c r="AX7" s="18"/>
      <c r="AY7" s="18"/>
      <c r="AZ7" s="18"/>
      <c r="BA7" s="18"/>
      <c r="BB7" s="19"/>
      <c r="BC7" s="20"/>
    </row>
    <row r="8" spans="1:55">
      <c r="A8" s="21">
        <v>1</v>
      </c>
      <c r="B8" s="22"/>
      <c r="C8" s="21"/>
      <c r="D8" s="23">
        <v>2</v>
      </c>
      <c r="E8" s="21">
        <v>3</v>
      </c>
      <c r="F8" s="23">
        <v>4</v>
      </c>
      <c r="G8" s="21">
        <v>5</v>
      </c>
      <c r="H8" s="23">
        <v>6</v>
      </c>
      <c r="I8" s="21">
        <v>7</v>
      </c>
      <c r="J8" s="23">
        <v>8</v>
      </c>
      <c r="K8" s="21">
        <v>9</v>
      </c>
      <c r="L8" s="23">
        <v>10</v>
      </c>
      <c r="M8" s="21">
        <v>11</v>
      </c>
      <c r="N8" s="23">
        <v>12</v>
      </c>
      <c r="O8" s="21">
        <v>13</v>
      </c>
      <c r="P8" s="23">
        <v>14</v>
      </c>
      <c r="Q8" s="21">
        <v>15</v>
      </c>
      <c r="R8" s="23">
        <v>16</v>
      </c>
      <c r="S8" s="21">
        <v>17</v>
      </c>
      <c r="T8" s="23">
        <v>18</v>
      </c>
      <c r="U8" s="21">
        <v>19</v>
      </c>
      <c r="V8" s="23">
        <v>20</v>
      </c>
      <c r="W8" s="21">
        <v>21</v>
      </c>
      <c r="X8" s="23">
        <v>22</v>
      </c>
      <c r="Y8" s="21">
        <v>23</v>
      </c>
      <c r="Z8" s="23">
        <v>24</v>
      </c>
      <c r="AA8" s="21">
        <v>25</v>
      </c>
      <c r="AB8" s="23">
        <v>26</v>
      </c>
      <c r="AC8" s="21">
        <v>27</v>
      </c>
      <c r="AD8" s="23">
        <v>28</v>
      </c>
      <c r="AE8" s="21">
        <v>29</v>
      </c>
      <c r="AF8" s="23">
        <v>30</v>
      </c>
      <c r="AG8" s="21">
        <v>31</v>
      </c>
      <c r="AH8" s="23">
        <v>32</v>
      </c>
      <c r="AI8" s="21">
        <v>33</v>
      </c>
      <c r="AJ8" s="23">
        <v>34</v>
      </c>
      <c r="AK8" s="21">
        <v>35</v>
      </c>
      <c r="AL8" s="23">
        <v>36</v>
      </c>
      <c r="AM8" s="21">
        <v>37</v>
      </c>
      <c r="AN8" s="23">
        <v>38</v>
      </c>
      <c r="AO8" s="21">
        <v>39</v>
      </c>
      <c r="AP8" s="23">
        <v>40</v>
      </c>
      <c r="AQ8" s="21">
        <v>41</v>
      </c>
      <c r="AR8" s="23">
        <v>42</v>
      </c>
      <c r="AS8" s="21">
        <v>43</v>
      </c>
      <c r="AT8" s="23">
        <v>44</v>
      </c>
      <c r="AU8" s="21">
        <v>45</v>
      </c>
      <c r="AV8" s="23">
        <v>46</v>
      </c>
      <c r="AW8" s="21">
        <v>47</v>
      </c>
      <c r="AX8" s="23">
        <v>48</v>
      </c>
      <c r="AY8" s="21">
        <v>49</v>
      </c>
      <c r="AZ8" s="23">
        <v>50</v>
      </c>
      <c r="BA8" s="21">
        <v>51</v>
      </c>
      <c r="BB8" s="23">
        <v>52</v>
      </c>
      <c r="BC8" s="21">
        <v>53</v>
      </c>
    </row>
    <row r="9" spans="1:55" ht="20.399999999999999">
      <c r="A9" s="24"/>
      <c r="B9" s="25" t="s">
        <v>57</v>
      </c>
      <c r="C9" s="24" t="s">
        <v>58</v>
      </c>
      <c r="D9" s="26">
        <f>SUM(D10,D161)</f>
        <v>9</v>
      </c>
      <c r="E9" s="26">
        <f t="shared" ref="E9:BC9" si="0">SUM(E10,E161)</f>
        <v>9</v>
      </c>
      <c r="F9" s="26">
        <f t="shared" si="0"/>
        <v>9</v>
      </c>
      <c r="G9" s="26">
        <f t="shared" si="0"/>
        <v>9</v>
      </c>
      <c r="H9" s="26">
        <f t="shared" si="0"/>
        <v>9</v>
      </c>
      <c r="I9" s="26">
        <f t="shared" si="0"/>
        <v>9</v>
      </c>
      <c r="J9" s="26">
        <f t="shared" si="0"/>
        <v>1</v>
      </c>
      <c r="K9" s="26">
        <f t="shared" si="0"/>
        <v>1</v>
      </c>
      <c r="L9" s="26">
        <f t="shared" si="0"/>
        <v>6</v>
      </c>
      <c r="M9" s="26">
        <f t="shared" si="0"/>
        <v>8</v>
      </c>
      <c r="N9" s="26">
        <f t="shared" si="0"/>
        <v>8</v>
      </c>
      <c r="O9" s="26">
        <f t="shared" si="0"/>
        <v>8</v>
      </c>
      <c r="P9" s="26">
        <f t="shared" si="0"/>
        <v>0</v>
      </c>
      <c r="Q9" s="26">
        <f t="shared" si="0"/>
        <v>0</v>
      </c>
      <c r="R9" s="26">
        <f t="shared" si="0"/>
        <v>0</v>
      </c>
      <c r="S9" s="26">
        <f t="shared" si="0"/>
        <v>0</v>
      </c>
      <c r="T9" s="26">
        <f t="shared" si="0"/>
        <v>0</v>
      </c>
      <c r="U9" s="26">
        <f t="shared" si="0"/>
        <v>0</v>
      </c>
      <c r="V9" s="26">
        <f t="shared" si="0"/>
        <v>5</v>
      </c>
      <c r="W9" s="26">
        <f t="shared" si="0"/>
        <v>4</v>
      </c>
      <c r="X9" s="26">
        <f t="shared" si="0"/>
        <v>0</v>
      </c>
      <c r="Y9" s="26">
        <f t="shared" si="0"/>
        <v>0</v>
      </c>
      <c r="Z9" s="26">
        <f t="shared" si="0"/>
        <v>0</v>
      </c>
      <c r="AA9" s="26">
        <f t="shared" si="0"/>
        <v>0</v>
      </c>
      <c r="AB9" s="26">
        <f t="shared" si="0"/>
        <v>0</v>
      </c>
      <c r="AC9" s="26">
        <f t="shared" si="0"/>
        <v>0</v>
      </c>
      <c r="AD9" s="26">
        <f t="shared" si="0"/>
        <v>0</v>
      </c>
      <c r="AE9" s="26">
        <f t="shared" si="0"/>
        <v>0</v>
      </c>
      <c r="AF9" s="26">
        <f t="shared" si="0"/>
        <v>0</v>
      </c>
      <c r="AG9" s="26">
        <f t="shared" si="0"/>
        <v>0</v>
      </c>
      <c r="AH9" s="26">
        <f t="shared" si="0"/>
        <v>0</v>
      </c>
      <c r="AI9" s="26">
        <f t="shared" si="0"/>
        <v>0</v>
      </c>
      <c r="AJ9" s="26">
        <f t="shared" si="0"/>
        <v>0</v>
      </c>
      <c r="AK9" s="26">
        <f t="shared" si="0"/>
        <v>0</v>
      </c>
      <c r="AL9" s="26">
        <f t="shared" si="0"/>
        <v>1</v>
      </c>
      <c r="AM9" s="26">
        <f t="shared" si="0"/>
        <v>7</v>
      </c>
      <c r="AN9" s="26">
        <f t="shared" si="0"/>
        <v>9</v>
      </c>
      <c r="AO9" s="26">
        <f t="shared" si="0"/>
        <v>0</v>
      </c>
      <c r="AP9" s="26">
        <f t="shared" si="0"/>
        <v>0</v>
      </c>
      <c r="AQ9" s="26">
        <f>AQ10+AR161</f>
        <v>0</v>
      </c>
      <c r="AR9" s="26">
        <f t="shared" si="0"/>
        <v>0</v>
      </c>
      <c r="AS9" s="26">
        <f t="shared" si="0"/>
        <v>0</v>
      </c>
      <c r="AT9" s="26">
        <f t="shared" si="0"/>
        <v>0</v>
      </c>
      <c r="AU9" s="26">
        <f t="shared" si="0"/>
        <v>0</v>
      </c>
      <c r="AV9" s="26">
        <f t="shared" si="0"/>
        <v>9</v>
      </c>
      <c r="AW9" s="26">
        <f t="shared" si="0"/>
        <v>0</v>
      </c>
      <c r="AX9" s="26">
        <f t="shared" si="0"/>
        <v>9</v>
      </c>
      <c r="AY9" s="26">
        <f t="shared" si="0"/>
        <v>0</v>
      </c>
      <c r="AZ9" s="26">
        <f t="shared" si="0"/>
        <v>4</v>
      </c>
      <c r="BA9" s="26">
        <f t="shared" si="0"/>
        <v>0</v>
      </c>
      <c r="BB9" s="26">
        <f t="shared" si="0"/>
        <v>0</v>
      </c>
      <c r="BC9" s="26">
        <f t="shared" si="0"/>
        <v>0</v>
      </c>
    </row>
    <row r="10" spans="1:55" ht="20.399999999999999">
      <c r="A10" s="25" t="s">
        <v>59</v>
      </c>
      <c r="B10" s="25" t="s">
        <v>60</v>
      </c>
      <c r="C10" s="25" t="s">
        <v>60</v>
      </c>
      <c r="D10" s="25">
        <f>COUNTIFS(D11:D160,"&lt;&gt;0", D11:D160,"&lt;&gt;")</f>
        <v>9</v>
      </c>
      <c r="E10" s="25">
        <f t="shared" ref="E10:BC10" si="1">COUNTIFS(E11:E160,"&lt;&gt;0", E11:E160,"&lt;&gt;")</f>
        <v>9</v>
      </c>
      <c r="F10" s="25">
        <f t="shared" si="1"/>
        <v>9</v>
      </c>
      <c r="G10" s="25">
        <f t="shared" si="1"/>
        <v>9</v>
      </c>
      <c r="H10" s="25">
        <f t="shared" si="1"/>
        <v>9</v>
      </c>
      <c r="I10" s="25">
        <f t="shared" si="1"/>
        <v>9</v>
      </c>
      <c r="J10" s="25">
        <f t="shared" si="1"/>
        <v>1</v>
      </c>
      <c r="K10" s="25">
        <f t="shared" si="1"/>
        <v>1</v>
      </c>
      <c r="L10" s="25">
        <f t="shared" si="1"/>
        <v>6</v>
      </c>
      <c r="M10" s="25">
        <f t="shared" si="1"/>
        <v>8</v>
      </c>
      <c r="N10" s="25">
        <f t="shared" si="1"/>
        <v>8</v>
      </c>
      <c r="O10" s="25">
        <f t="shared" si="1"/>
        <v>8</v>
      </c>
      <c r="P10" s="25">
        <f t="shared" si="1"/>
        <v>0</v>
      </c>
      <c r="Q10" s="25">
        <f t="shared" si="1"/>
        <v>0</v>
      </c>
      <c r="R10" s="25">
        <f t="shared" si="1"/>
        <v>0</v>
      </c>
      <c r="S10" s="25">
        <f t="shared" si="1"/>
        <v>0</v>
      </c>
      <c r="T10" s="25">
        <f t="shared" si="1"/>
        <v>0</v>
      </c>
      <c r="U10" s="25">
        <f t="shared" si="1"/>
        <v>0</v>
      </c>
      <c r="V10" s="25">
        <f t="shared" si="1"/>
        <v>5</v>
      </c>
      <c r="W10" s="25">
        <f t="shared" si="1"/>
        <v>4</v>
      </c>
      <c r="X10" s="25">
        <f t="shared" si="1"/>
        <v>0</v>
      </c>
      <c r="Y10" s="25">
        <f t="shared" si="1"/>
        <v>0</v>
      </c>
      <c r="Z10" s="25">
        <f t="shared" si="1"/>
        <v>0</v>
      </c>
      <c r="AA10" s="25">
        <f t="shared" si="1"/>
        <v>0</v>
      </c>
      <c r="AB10" s="25">
        <f t="shared" si="1"/>
        <v>0</v>
      </c>
      <c r="AC10" s="25">
        <f t="shared" si="1"/>
        <v>0</v>
      </c>
      <c r="AD10" s="25">
        <f t="shared" si="1"/>
        <v>0</v>
      </c>
      <c r="AE10" s="25">
        <f t="shared" si="1"/>
        <v>0</v>
      </c>
      <c r="AF10" s="25">
        <f t="shared" si="1"/>
        <v>0</v>
      </c>
      <c r="AG10" s="25">
        <f t="shared" si="1"/>
        <v>0</v>
      </c>
      <c r="AH10" s="25">
        <f t="shared" si="1"/>
        <v>0</v>
      </c>
      <c r="AI10" s="25">
        <f t="shared" si="1"/>
        <v>0</v>
      </c>
      <c r="AJ10" s="25">
        <f t="shared" si="1"/>
        <v>0</v>
      </c>
      <c r="AK10" s="25">
        <f t="shared" si="1"/>
        <v>0</v>
      </c>
      <c r="AL10" s="25">
        <f t="shared" si="1"/>
        <v>1</v>
      </c>
      <c r="AM10" s="25">
        <f t="shared" si="1"/>
        <v>7</v>
      </c>
      <c r="AN10" s="25">
        <f t="shared" si="1"/>
        <v>9</v>
      </c>
      <c r="AO10" s="25">
        <f t="shared" si="1"/>
        <v>0</v>
      </c>
      <c r="AP10" s="25">
        <f t="shared" si="1"/>
        <v>0</v>
      </c>
      <c r="AQ10" s="25">
        <f t="shared" si="1"/>
        <v>0</v>
      </c>
      <c r="AR10" s="25">
        <f t="shared" si="1"/>
        <v>0</v>
      </c>
      <c r="AS10" s="25">
        <f t="shared" si="1"/>
        <v>0</v>
      </c>
      <c r="AT10" s="25">
        <f t="shared" si="1"/>
        <v>0</v>
      </c>
      <c r="AU10" s="25">
        <f t="shared" si="1"/>
        <v>0</v>
      </c>
      <c r="AV10" s="25">
        <f t="shared" si="1"/>
        <v>9</v>
      </c>
      <c r="AW10" s="25">
        <f t="shared" si="1"/>
        <v>0</v>
      </c>
      <c r="AX10" s="25">
        <f t="shared" si="1"/>
        <v>9</v>
      </c>
      <c r="AY10" s="25">
        <f t="shared" si="1"/>
        <v>0</v>
      </c>
      <c r="AZ10" s="25">
        <f t="shared" si="1"/>
        <v>4</v>
      </c>
      <c r="BA10" s="25">
        <f t="shared" si="1"/>
        <v>0</v>
      </c>
      <c r="BB10" s="25">
        <f t="shared" si="1"/>
        <v>0</v>
      </c>
      <c r="BC10" s="25">
        <f t="shared" si="1"/>
        <v>0</v>
      </c>
    </row>
    <row r="11" spans="1:55" ht="26.4">
      <c r="A11" s="21"/>
      <c r="B11" s="22" t="str">
        <f t="shared" ref="B11:B19" si="2">D11&amp;"-"&amp;C11</f>
        <v>Lãnh đạo Cục-Cục QLTHADS</v>
      </c>
      <c r="C11" s="16" t="s">
        <v>60</v>
      </c>
      <c r="D11" s="27" t="s">
        <v>61</v>
      </c>
      <c r="E11" s="28" t="s">
        <v>62</v>
      </c>
      <c r="F11" s="29" t="s">
        <v>63</v>
      </c>
      <c r="G11" s="30" t="s">
        <v>64</v>
      </c>
      <c r="H11" s="30" t="s">
        <v>64</v>
      </c>
      <c r="I11" s="30" t="s">
        <v>65</v>
      </c>
      <c r="J11" s="31">
        <v>1</v>
      </c>
      <c r="K11" s="31"/>
      <c r="L11" s="31"/>
      <c r="M11" s="32" t="s">
        <v>66</v>
      </c>
      <c r="N11" s="32" t="s">
        <v>67</v>
      </c>
      <c r="O11" s="32" t="s">
        <v>68</v>
      </c>
      <c r="P11" s="31"/>
      <c r="Q11" s="31"/>
      <c r="R11" s="31"/>
      <c r="S11" s="31"/>
      <c r="T11" s="31"/>
      <c r="U11" s="31"/>
      <c r="V11" s="31">
        <v>1</v>
      </c>
      <c r="W11" s="33"/>
      <c r="X11" s="31"/>
      <c r="Y11" s="31"/>
      <c r="Z11" s="31"/>
      <c r="AA11" s="31"/>
      <c r="AB11" s="31"/>
      <c r="AC11" s="31"/>
      <c r="AD11" s="31"/>
      <c r="AE11" s="31"/>
      <c r="AF11" s="34"/>
      <c r="AG11" s="31"/>
      <c r="AH11" s="31"/>
      <c r="AI11" s="31"/>
      <c r="AJ11" s="31"/>
      <c r="AK11" s="31"/>
      <c r="AL11" s="31">
        <v>1</v>
      </c>
      <c r="AM11" s="31">
        <v>1</v>
      </c>
      <c r="AN11" s="31">
        <v>1</v>
      </c>
      <c r="AO11" s="31"/>
      <c r="AP11" s="31"/>
      <c r="AQ11" s="31"/>
      <c r="AR11" s="31"/>
      <c r="AS11" s="31"/>
      <c r="AT11" s="31"/>
      <c r="AU11" s="31"/>
      <c r="AV11" s="31">
        <v>1</v>
      </c>
      <c r="AW11" s="31"/>
      <c r="AX11" s="31">
        <v>1</v>
      </c>
      <c r="AY11" s="31"/>
      <c r="AZ11" s="31">
        <v>1</v>
      </c>
      <c r="BA11" s="31"/>
      <c r="BB11" s="31"/>
      <c r="BC11" s="34"/>
    </row>
    <row r="12" spans="1:55" ht="39.6">
      <c r="A12" s="21"/>
      <c r="B12" s="22" t="str">
        <f t="shared" si="2"/>
        <v>Lãnh đạo Cục-Cục QLTHADS</v>
      </c>
      <c r="C12" s="16" t="s">
        <v>60</v>
      </c>
      <c r="D12" s="27" t="s">
        <v>61</v>
      </c>
      <c r="E12" s="28" t="s">
        <v>69</v>
      </c>
      <c r="F12" s="29" t="s">
        <v>70</v>
      </c>
      <c r="G12" s="30">
        <v>20</v>
      </c>
      <c r="H12" s="30">
        <v>8</v>
      </c>
      <c r="I12" s="30">
        <v>1972</v>
      </c>
      <c r="J12" s="31"/>
      <c r="K12" s="31"/>
      <c r="L12" s="31">
        <v>1</v>
      </c>
      <c r="M12" s="32" t="s">
        <v>66</v>
      </c>
      <c r="N12" s="32" t="s">
        <v>67</v>
      </c>
      <c r="O12" s="32" t="s">
        <v>68</v>
      </c>
      <c r="P12" s="31"/>
      <c r="Q12" s="31"/>
      <c r="R12" s="31"/>
      <c r="S12" s="31"/>
      <c r="T12" s="31"/>
      <c r="U12" s="31"/>
      <c r="V12" s="31">
        <v>1</v>
      </c>
      <c r="W12" s="31"/>
      <c r="X12" s="31"/>
      <c r="Y12" s="31"/>
      <c r="Z12" s="31"/>
      <c r="AA12" s="31"/>
      <c r="AB12" s="31"/>
      <c r="AC12" s="31"/>
      <c r="AD12" s="31"/>
      <c r="AE12" s="31"/>
      <c r="AF12" s="34"/>
      <c r="AG12" s="31"/>
      <c r="AH12" s="31"/>
      <c r="AI12" s="31"/>
      <c r="AJ12" s="31"/>
      <c r="AK12" s="31"/>
      <c r="AL12" s="31"/>
      <c r="AM12" s="31">
        <v>1</v>
      </c>
      <c r="AN12" s="31">
        <v>1</v>
      </c>
      <c r="AO12" s="31"/>
      <c r="AP12" s="31"/>
      <c r="AQ12" s="31"/>
      <c r="AR12" s="31"/>
      <c r="AS12" s="31"/>
      <c r="AT12" s="31"/>
      <c r="AU12" s="31"/>
      <c r="AV12" s="31">
        <v>1</v>
      </c>
      <c r="AW12" s="31"/>
      <c r="AX12" s="31">
        <v>1</v>
      </c>
      <c r="AY12" s="31"/>
      <c r="AZ12" s="31">
        <v>1</v>
      </c>
      <c r="BA12" s="31"/>
      <c r="BB12" s="31"/>
      <c r="BC12" s="34"/>
    </row>
    <row r="13" spans="1:55" ht="52.8">
      <c r="A13" s="21"/>
      <c r="B13" s="22" t="str">
        <f t="shared" si="2"/>
        <v>Lãnh đạo Cục-Cục QLTHADS</v>
      </c>
      <c r="C13" s="16" t="s">
        <v>60</v>
      </c>
      <c r="D13" s="27" t="s">
        <v>61</v>
      </c>
      <c r="E13" s="28" t="s">
        <v>71</v>
      </c>
      <c r="F13" s="29" t="s">
        <v>70</v>
      </c>
      <c r="G13" s="30" t="s">
        <v>72</v>
      </c>
      <c r="H13" s="30" t="s">
        <v>73</v>
      </c>
      <c r="I13" s="30" t="s">
        <v>74</v>
      </c>
      <c r="J13" s="31"/>
      <c r="K13" s="31"/>
      <c r="L13" s="31">
        <v>1</v>
      </c>
      <c r="M13" s="32" t="s">
        <v>66</v>
      </c>
      <c r="N13" s="32" t="s">
        <v>67</v>
      </c>
      <c r="O13" s="32" t="s">
        <v>68</v>
      </c>
      <c r="P13" s="31"/>
      <c r="Q13" s="31"/>
      <c r="R13" s="31"/>
      <c r="S13" s="31"/>
      <c r="T13" s="31"/>
      <c r="U13" s="31"/>
      <c r="V13" s="31">
        <v>1</v>
      </c>
      <c r="W13" s="33"/>
      <c r="X13" s="31"/>
      <c r="Y13" s="31"/>
      <c r="Z13" s="31"/>
      <c r="AA13" s="31"/>
      <c r="AB13" s="31"/>
      <c r="AC13" s="31"/>
      <c r="AD13" s="31"/>
      <c r="AE13" s="31"/>
      <c r="AF13" s="34"/>
      <c r="AG13" s="31"/>
      <c r="AH13" s="31"/>
      <c r="AI13" s="31"/>
      <c r="AJ13" s="31"/>
      <c r="AK13" s="31"/>
      <c r="AL13" s="31"/>
      <c r="AM13" s="31">
        <v>1</v>
      </c>
      <c r="AN13" s="31">
        <v>1</v>
      </c>
      <c r="AO13" s="31"/>
      <c r="AP13" s="31"/>
      <c r="AQ13" s="31"/>
      <c r="AR13" s="31"/>
      <c r="AS13" s="31"/>
      <c r="AT13" s="31"/>
      <c r="AU13" s="31"/>
      <c r="AV13" s="31">
        <v>1</v>
      </c>
      <c r="AW13" s="31"/>
      <c r="AX13" s="31">
        <v>1</v>
      </c>
      <c r="AY13" s="31"/>
      <c r="AZ13" s="31">
        <v>1</v>
      </c>
      <c r="BA13" s="31"/>
      <c r="BB13" s="31"/>
      <c r="BC13" s="34"/>
    </row>
    <row r="14" spans="1:55" ht="26.4">
      <c r="A14" s="21"/>
      <c r="B14" s="22" t="str">
        <f t="shared" si="2"/>
        <v>Lãnh đạo Cục-Cục QLTHADS</v>
      </c>
      <c r="C14" s="16" t="s">
        <v>60</v>
      </c>
      <c r="D14" s="27" t="s">
        <v>61</v>
      </c>
      <c r="E14" s="28" t="s">
        <v>75</v>
      </c>
      <c r="F14" s="29" t="s">
        <v>63</v>
      </c>
      <c r="G14" s="30" t="s">
        <v>76</v>
      </c>
      <c r="H14" s="30" t="s">
        <v>73</v>
      </c>
      <c r="I14" s="30" t="s">
        <v>77</v>
      </c>
      <c r="J14" s="31"/>
      <c r="K14" s="31"/>
      <c r="L14" s="31">
        <v>1</v>
      </c>
      <c r="M14" s="32" t="s">
        <v>66</v>
      </c>
      <c r="N14" s="32" t="s">
        <v>66</v>
      </c>
      <c r="O14" s="32" t="s">
        <v>78</v>
      </c>
      <c r="P14" s="34"/>
      <c r="Q14" s="34"/>
      <c r="R14" s="34"/>
      <c r="S14" s="34"/>
      <c r="T14" s="34"/>
      <c r="U14" s="34"/>
      <c r="V14" s="31">
        <v>1</v>
      </c>
      <c r="W14" s="33"/>
      <c r="X14" s="31"/>
      <c r="Y14" s="31"/>
      <c r="Z14" s="31"/>
      <c r="AA14" s="31"/>
      <c r="AB14" s="31"/>
      <c r="AC14" s="31"/>
      <c r="AD14" s="31"/>
      <c r="AE14" s="34"/>
      <c r="AF14" s="34"/>
      <c r="AG14" s="31"/>
      <c r="AH14" s="31"/>
      <c r="AI14" s="31"/>
      <c r="AJ14" s="34"/>
      <c r="AK14" s="34"/>
      <c r="AL14" s="31"/>
      <c r="AM14" s="31">
        <v>1</v>
      </c>
      <c r="AN14" s="31">
        <v>1</v>
      </c>
      <c r="AO14" s="34"/>
      <c r="AP14" s="34"/>
      <c r="AQ14" s="34"/>
      <c r="AR14" s="34"/>
      <c r="AS14" s="31"/>
      <c r="AT14" s="31"/>
      <c r="AU14" s="31"/>
      <c r="AV14" s="31">
        <v>1</v>
      </c>
      <c r="AW14" s="31"/>
      <c r="AX14" s="31">
        <v>1</v>
      </c>
      <c r="AY14" s="31"/>
      <c r="AZ14" s="31"/>
      <c r="BA14" s="31"/>
      <c r="BB14" s="34"/>
      <c r="BC14" s="34"/>
    </row>
    <row r="15" spans="1:55" ht="66">
      <c r="A15" s="21"/>
      <c r="B15" s="22" t="str">
        <f t="shared" si="2"/>
        <v>Ban Pháp chế và Nghiệp vụ THADS-Cục QLTHADS</v>
      </c>
      <c r="C15" s="16" t="s">
        <v>60</v>
      </c>
      <c r="D15" s="35" t="s">
        <v>79</v>
      </c>
      <c r="E15" s="28" t="s">
        <v>80</v>
      </c>
      <c r="F15" s="29" t="s">
        <v>63</v>
      </c>
      <c r="G15" s="30" t="s">
        <v>81</v>
      </c>
      <c r="H15" s="30" t="s">
        <v>82</v>
      </c>
      <c r="I15" s="30" t="s">
        <v>83</v>
      </c>
      <c r="J15" s="31"/>
      <c r="K15" s="31">
        <v>1</v>
      </c>
      <c r="L15" s="31"/>
      <c r="M15" s="32" t="s">
        <v>66</v>
      </c>
      <c r="N15" s="32" t="s">
        <v>67</v>
      </c>
      <c r="O15" s="32" t="s">
        <v>68</v>
      </c>
      <c r="P15" s="31"/>
      <c r="Q15" s="31"/>
      <c r="R15" s="31"/>
      <c r="S15" s="31"/>
      <c r="T15" s="31"/>
      <c r="U15" s="31"/>
      <c r="V15" s="31"/>
      <c r="W15" s="31">
        <v>1</v>
      </c>
      <c r="X15" s="31"/>
      <c r="Y15" s="31"/>
      <c r="Z15" s="31"/>
      <c r="AA15" s="31"/>
      <c r="AB15" s="31"/>
      <c r="AC15" s="31"/>
      <c r="AD15" s="31"/>
      <c r="AE15" s="31"/>
      <c r="AF15" s="34"/>
      <c r="AG15" s="31"/>
      <c r="AH15" s="31"/>
      <c r="AI15" s="31"/>
      <c r="AJ15" s="31"/>
      <c r="AK15" s="31"/>
      <c r="AL15" s="31"/>
      <c r="AM15" s="31"/>
      <c r="AN15" s="31">
        <v>1</v>
      </c>
      <c r="AO15" s="31"/>
      <c r="AP15" s="31"/>
      <c r="AQ15" s="31"/>
      <c r="AR15" s="31"/>
      <c r="AS15" s="31"/>
      <c r="AT15" s="31"/>
      <c r="AU15" s="31"/>
      <c r="AV15" s="31">
        <v>1</v>
      </c>
      <c r="AW15" s="31"/>
      <c r="AX15" s="31">
        <v>1</v>
      </c>
      <c r="AY15" s="31"/>
      <c r="AZ15" s="31">
        <v>1</v>
      </c>
      <c r="BA15" s="31"/>
      <c r="BB15" s="31"/>
      <c r="BC15" s="34"/>
    </row>
    <row r="16" spans="1:55" ht="66">
      <c r="A16" s="21"/>
      <c r="B16" s="22" t="str">
        <f t="shared" si="2"/>
        <v>Ban Pháp chế và Nghiệp vụ THADS-Cục QLTHADS</v>
      </c>
      <c r="C16" s="16" t="s">
        <v>60</v>
      </c>
      <c r="D16" s="35" t="s">
        <v>79</v>
      </c>
      <c r="E16" s="28" t="s">
        <v>84</v>
      </c>
      <c r="F16" s="29" t="s">
        <v>70</v>
      </c>
      <c r="G16" s="30" t="s">
        <v>85</v>
      </c>
      <c r="H16" s="30" t="s">
        <v>86</v>
      </c>
      <c r="I16" s="30" t="s">
        <v>87</v>
      </c>
      <c r="J16" s="31"/>
      <c r="K16" s="31"/>
      <c r="L16" s="31">
        <v>1</v>
      </c>
      <c r="M16" s="32" t="s">
        <v>66</v>
      </c>
      <c r="N16" s="32" t="s">
        <v>67</v>
      </c>
      <c r="O16" s="32" t="s">
        <v>68</v>
      </c>
      <c r="P16" s="31"/>
      <c r="Q16" s="31"/>
      <c r="R16" s="31"/>
      <c r="S16" s="31"/>
      <c r="T16" s="31"/>
      <c r="U16" s="31"/>
      <c r="V16" s="31">
        <v>1</v>
      </c>
      <c r="W16" s="31"/>
      <c r="X16" s="31"/>
      <c r="Y16" s="31"/>
      <c r="Z16" s="31"/>
      <c r="AA16" s="31"/>
      <c r="AB16" s="31"/>
      <c r="AC16" s="31"/>
      <c r="AD16" s="31"/>
      <c r="AE16" s="31"/>
      <c r="AF16" s="34"/>
      <c r="AG16" s="31"/>
      <c r="AH16" s="31"/>
      <c r="AI16" s="31"/>
      <c r="AJ16" s="31"/>
      <c r="AK16" s="31"/>
      <c r="AL16" s="31"/>
      <c r="AM16" s="31">
        <v>1</v>
      </c>
      <c r="AN16" s="31">
        <v>1</v>
      </c>
      <c r="AO16" s="31"/>
      <c r="AP16" s="31"/>
      <c r="AQ16" s="31"/>
      <c r="AR16" s="31"/>
      <c r="AS16" s="31"/>
      <c r="AT16" s="31"/>
      <c r="AU16" s="31"/>
      <c r="AV16" s="31">
        <v>1</v>
      </c>
      <c r="AW16" s="31"/>
      <c r="AX16" s="31">
        <v>1</v>
      </c>
      <c r="AY16" s="31"/>
      <c r="AZ16" s="31"/>
      <c r="BA16" s="31"/>
      <c r="BB16" s="31"/>
      <c r="BC16" s="34"/>
    </row>
    <row r="17" spans="1:55" ht="66">
      <c r="A17" s="21"/>
      <c r="B17" s="22" t="str">
        <f t="shared" si="2"/>
        <v>Ban Pháp chế và Nghiệp vụ THADS-Cục QLTHADS</v>
      </c>
      <c r="C17" s="16" t="s">
        <v>60</v>
      </c>
      <c r="D17" s="35" t="s">
        <v>79</v>
      </c>
      <c r="E17" s="28" t="s">
        <v>88</v>
      </c>
      <c r="F17" s="29" t="s">
        <v>70</v>
      </c>
      <c r="G17" s="30" t="s">
        <v>89</v>
      </c>
      <c r="H17" s="30" t="s">
        <v>73</v>
      </c>
      <c r="I17" s="30" t="s">
        <v>90</v>
      </c>
      <c r="J17" s="31"/>
      <c r="K17" s="31"/>
      <c r="L17" s="31">
        <v>1</v>
      </c>
      <c r="M17" s="32" t="s">
        <v>66</v>
      </c>
      <c r="N17" s="32" t="s">
        <v>67</v>
      </c>
      <c r="O17" s="32" t="s">
        <v>68</v>
      </c>
      <c r="P17" s="31"/>
      <c r="Q17" s="31"/>
      <c r="R17" s="31"/>
      <c r="S17" s="31"/>
      <c r="T17" s="31"/>
      <c r="U17" s="31"/>
      <c r="V17" s="31"/>
      <c r="W17" s="31">
        <v>1</v>
      </c>
      <c r="X17" s="31"/>
      <c r="Y17" s="31"/>
      <c r="Z17" s="31"/>
      <c r="AA17" s="31"/>
      <c r="AB17" s="31"/>
      <c r="AC17" s="31"/>
      <c r="AD17" s="31"/>
      <c r="AE17" s="31"/>
      <c r="AF17" s="34"/>
      <c r="AG17" s="31"/>
      <c r="AH17" s="31"/>
      <c r="AI17" s="31"/>
      <c r="AJ17" s="31"/>
      <c r="AK17" s="31"/>
      <c r="AL17" s="31"/>
      <c r="AM17" s="31">
        <v>1</v>
      </c>
      <c r="AN17" s="31">
        <v>1</v>
      </c>
      <c r="AO17" s="31"/>
      <c r="AP17" s="31"/>
      <c r="AQ17" s="31"/>
      <c r="AR17" s="31"/>
      <c r="AS17" s="31"/>
      <c r="AT17" s="31"/>
      <c r="AU17" s="31"/>
      <c r="AV17" s="31">
        <v>1</v>
      </c>
      <c r="AW17" s="31"/>
      <c r="AX17" s="31">
        <v>1</v>
      </c>
      <c r="AY17" s="31"/>
      <c r="AZ17" s="31"/>
      <c r="BA17" s="31"/>
      <c r="BB17" s="31"/>
      <c r="BC17" s="34"/>
    </row>
    <row r="18" spans="1:55" ht="66">
      <c r="A18" s="21"/>
      <c r="B18" s="22" t="str">
        <f t="shared" si="2"/>
        <v>Ban Pháp chế và Nghiệp vụ THADS-Cục QLTHADS</v>
      </c>
      <c r="C18" s="16" t="s">
        <v>60</v>
      </c>
      <c r="D18" s="35" t="s">
        <v>79</v>
      </c>
      <c r="E18" s="28" t="s">
        <v>91</v>
      </c>
      <c r="F18" s="29" t="s">
        <v>70</v>
      </c>
      <c r="G18" s="30" t="s">
        <v>92</v>
      </c>
      <c r="H18" s="30" t="s">
        <v>67</v>
      </c>
      <c r="I18" s="30" t="s">
        <v>93</v>
      </c>
      <c r="J18" s="31"/>
      <c r="K18" s="31"/>
      <c r="L18" s="31">
        <v>1</v>
      </c>
      <c r="M18" s="32" t="s">
        <v>66</v>
      </c>
      <c r="N18" s="32" t="s">
        <v>67</v>
      </c>
      <c r="O18" s="32" t="s">
        <v>68</v>
      </c>
      <c r="P18" s="31"/>
      <c r="Q18" s="31"/>
      <c r="R18" s="31"/>
      <c r="S18" s="31"/>
      <c r="T18" s="31"/>
      <c r="U18" s="31"/>
      <c r="V18" s="31"/>
      <c r="W18" s="31">
        <v>1</v>
      </c>
      <c r="X18" s="31"/>
      <c r="Y18" s="31"/>
      <c r="Z18" s="31"/>
      <c r="AA18" s="31"/>
      <c r="AB18" s="31"/>
      <c r="AC18" s="31"/>
      <c r="AD18" s="31"/>
      <c r="AE18" s="31"/>
      <c r="AF18" s="34"/>
      <c r="AG18" s="31"/>
      <c r="AH18" s="31"/>
      <c r="AI18" s="31"/>
      <c r="AJ18" s="31"/>
      <c r="AK18" s="31"/>
      <c r="AL18" s="31"/>
      <c r="AM18" s="31"/>
      <c r="AN18" s="31">
        <v>1</v>
      </c>
      <c r="AO18" s="31"/>
      <c r="AP18" s="31"/>
      <c r="AQ18" s="31"/>
      <c r="AR18" s="31"/>
      <c r="AS18" s="31"/>
      <c r="AT18" s="31"/>
      <c r="AU18" s="31"/>
      <c r="AV18" s="31">
        <v>1</v>
      </c>
      <c r="AW18" s="31"/>
      <c r="AX18" s="31">
        <v>1</v>
      </c>
      <c r="AY18" s="31"/>
      <c r="AZ18" s="31"/>
      <c r="BA18" s="31"/>
      <c r="BB18" s="31"/>
      <c r="BC18" s="34"/>
    </row>
    <row r="19" spans="1:55" ht="66">
      <c r="A19" s="21"/>
      <c r="B19" s="22" t="str">
        <f t="shared" si="2"/>
        <v>Ban Pháp chế và Nghiệp vụ THADS-Cục QLTHADS</v>
      </c>
      <c r="C19" s="16" t="s">
        <v>60</v>
      </c>
      <c r="D19" s="35" t="s">
        <v>79</v>
      </c>
      <c r="E19" s="28" t="s">
        <v>94</v>
      </c>
      <c r="F19" s="29" t="s">
        <v>70</v>
      </c>
      <c r="G19" s="30" t="s">
        <v>95</v>
      </c>
      <c r="H19" s="30" t="s">
        <v>64</v>
      </c>
      <c r="I19" s="30" t="s">
        <v>96</v>
      </c>
      <c r="J19" s="31"/>
      <c r="K19" s="31"/>
      <c r="L19" s="31"/>
      <c r="M19" s="32"/>
      <c r="N19" s="32"/>
      <c r="O19" s="32"/>
      <c r="P19" s="31"/>
      <c r="Q19" s="31"/>
      <c r="R19" s="31"/>
      <c r="S19" s="31"/>
      <c r="T19" s="31"/>
      <c r="U19" s="31"/>
      <c r="V19" s="31"/>
      <c r="W19" s="31">
        <v>1</v>
      </c>
      <c r="X19" s="31"/>
      <c r="Y19" s="31"/>
      <c r="Z19" s="31"/>
      <c r="AA19" s="31"/>
      <c r="AB19" s="31"/>
      <c r="AC19" s="31"/>
      <c r="AD19" s="31"/>
      <c r="AE19" s="31"/>
      <c r="AF19" s="34"/>
      <c r="AG19" s="31"/>
      <c r="AH19" s="31"/>
      <c r="AI19" s="31"/>
      <c r="AJ19" s="31"/>
      <c r="AK19" s="31"/>
      <c r="AL19" s="31"/>
      <c r="AM19" s="31">
        <v>1</v>
      </c>
      <c r="AN19" s="31">
        <v>1</v>
      </c>
      <c r="AO19" s="31"/>
      <c r="AP19" s="31"/>
      <c r="AQ19" s="31"/>
      <c r="AR19" s="31"/>
      <c r="AS19" s="31"/>
      <c r="AT19" s="31"/>
      <c r="AU19" s="31"/>
      <c r="AV19" s="31">
        <v>1</v>
      </c>
      <c r="AW19" s="31"/>
      <c r="AX19" s="31">
        <v>1</v>
      </c>
      <c r="AY19" s="31"/>
      <c r="AZ19" s="31"/>
      <c r="BA19" s="31"/>
      <c r="BB19" s="31"/>
      <c r="BC19" s="34"/>
    </row>
  </sheetData>
  <mergeCells count="50">
    <mergeCell ref="AZ6:AZ7"/>
    <mergeCell ref="BA6:BA7"/>
    <mergeCell ref="AL6:AP6"/>
    <mergeCell ref="AQ6:AU6"/>
    <mergeCell ref="AV6:AV7"/>
    <mergeCell ref="AW6:AW7"/>
    <mergeCell ref="AX6:AX7"/>
    <mergeCell ref="AY6:AY7"/>
    <mergeCell ref="AF6:AF7"/>
    <mergeCell ref="AG6:AG7"/>
    <mergeCell ref="AH6:AH7"/>
    <mergeCell ref="AI6:AI7"/>
    <mergeCell ref="AJ6:AJ7"/>
    <mergeCell ref="AK6:AK7"/>
    <mergeCell ref="Z6:Z7"/>
    <mergeCell ref="AA6:AA7"/>
    <mergeCell ref="AB6:AB7"/>
    <mergeCell ref="AC6:AC7"/>
    <mergeCell ref="AD6:AD7"/>
    <mergeCell ref="AE6:AE7"/>
    <mergeCell ref="AV5:AW5"/>
    <mergeCell ref="AX5:AY5"/>
    <mergeCell ref="AZ5:BA5"/>
    <mergeCell ref="BB5:BB7"/>
    <mergeCell ref="BC5:BC7"/>
    <mergeCell ref="J6:K6"/>
    <mergeCell ref="L6:L7"/>
    <mergeCell ref="S6:S7"/>
    <mergeCell ref="T6:T7"/>
    <mergeCell ref="U6:U7"/>
    <mergeCell ref="M5:O6"/>
    <mergeCell ref="P5:P7"/>
    <mergeCell ref="Q5:Q7"/>
    <mergeCell ref="R5:R7"/>
    <mergeCell ref="S5:AK5"/>
    <mergeCell ref="AL5:AU5"/>
    <mergeCell ref="V6:V7"/>
    <mergeCell ref="W6:W7"/>
    <mergeCell ref="X6:X7"/>
    <mergeCell ref="Y6:Y7"/>
    <mergeCell ref="A1:BC3"/>
    <mergeCell ref="A4:BC4"/>
    <mergeCell ref="A5:A7"/>
    <mergeCell ref="B5:B7"/>
    <mergeCell ref="C5:C7"/>
    <mergeCell ref="D5:D7"/>
    <mergeCell ref="E5:E7"/>
    <mergeCell ref="F5:F7"/>
    <mergeCell ref="G5:I6"/>
    <mergeCell ref="J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Trịnh</dc:creator>
  <cp:lastModifiedBy>Thanh Trịnh</cp:lastModifiedBy>
  <dcterms:created xsi:type="dcterms:W3CDTF">2026-05-19T07:47:19Z</dcterms:created>
  <dcterms:modified xsi:type="dcterms:W3CDTF">2026-05-19T07:47:31Z</dcterms:modified>
</cp:coreProperties>
</file>