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Nhap lieu" sheetId="2" state="visible" r:id="rId2"/>
    <sheet name="Control Panel" sheetId="3" state="visible" r:id="rId3"/>
    <sheet name="Tu dien du lieu" sheetId="4" state="visible" r:id="rId4"/>
    <sheet name="Kiem tra" sheetId="5" state="visible" r:id="rId5"/>
    <sheet name="Bao cao dieu hanh" sheetId="6" state="visible" r:id="rId6"/>
    <sheet name="Danh muc" sheetId="7" state="visible" r:id="rId7"/>
    <sheet name="Huong dan" sheetId="8" state="visible" r:id="rId8"/>
  </sheets>
  <definedNames>
    <definedName name="_xlnm._FilterDatabase" localSheetId="1" hidden="1">'Nhap lieu'!$A$4:$J$64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#,##0 &quot;VND&quot;"/>
  </numFmts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</font>
    <font>
      <b val="1"/>
      <color rgb="001F2937"/>
    </font>
    <font>
      <b val="1"/>
      <color rgb="00FFFFFF"/>
    </font>
    <font>
      <b val="1"/>
      <sz val="1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107C4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3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166" fontId="0" fillId="0" borderId="1" applyAlignment="1" pivotButton="0" quotePrefix="0" xfId="0">
      <alignment vertical="center" wrapText="1"/>
    </xf>
    <xf numFmtId="9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2">
    <dxf>
      <fill>
        <patternFill patternType="solid">
          <fgColor rgb="00FEF3C7"/>
        </patternFill>
      </fill>
    </dxf>
    <dxf>
      <fill>
        <patternFill patternType="solid">
          <f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Ke hoach vs Thuc 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'Dashboard'!$B$11:$B$16</f>
            </numRef>
          </val>
        </ser>
        <ser>
          <idx val="1"/>
          <order val="1"/>
          <tx>
            <strRef>
              <f>'Dashboard'!C10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'Dashboard'!$C$11:$C$16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Hang 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Xu huong ke hoach/thuc hien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'Dashboard'!$B$23:$B$34</f>
            </numRef>
          </val>
        </ser>
        <ser>
          <idx val="1"/>
          <order val="1"/>
          <tx>
            <strRef>
              <f>'Dashboard'!C22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'Dashboard'!$C$23:$C$34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23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hr_Nhap_lieu" displayName="tbl_hr_Nhap_lieu" ref="A4:J64" headerRowCount="1">
  <autoFilter ref="A4:J64"/>
  <tableColumns count="10">
    <tableColumn id="1" name="Ma NV"/>
    <tableColumn id="2" name="Ho ten"/>
    <tableColumn id="3" name="Bo phan"/>
    <tableColumn id="4" name="Chuc danh"/>
    <tableColumn id="5" name="Ngay cong"/>
    <tableColumn id="6" name="Luong co ban"/>
    <tableColumn id="7" name="Phu cap"/>
    <tableColumn id="8" name="Khau tru"/>
    <tableColumn id="9" name="Tong cong"/>
    <tableColumn id="10" name="Trang thai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_dict_hr" displayName="tbl_dict_hr" ref="A4:F14" headerRowCount="1">
  <autoFilter ref="A4:F14"/>
  <tableColumns count="6">
    <tableColumn id="1" name="Cot"/>
    <tableColumn id="2" name="Kieu du lieu"/>
    <tableColumn id="3" name="Bat buoc"/>
    <tableColumn id="4" name="Nguon/Validation"/>
    <tableColumn id="5" name="Cong thuc/Ghi chu"/>
    <tableColumn id="6" name="Dung cho AI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Dashboard - Dao tao Nhan su chuyen nghiep 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Tong quan KPI tu sheet Nhap lieu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4" t="inlineStr">
        <is>
          <t>Tong dong</t>
        </is>
      </c>
      <c r="B4" s="2" t="n"/>
      <c r="C4" s="4" t="inlineStr">
        <is>
          <t>Tong ke hoach</t>
        </is>
      </c>
      <c r="D4" s="2" t="n"/>
      <c r="E4" s="4" t="inlineStr">
        <is>
          <t>Tong thuc hien</t>
        </is>
      </c>
      <c r="F4" s="2" t="n"/>
      <c r="G4" s="4" t="inlineStr">
        <is>
          <t>Ty le TB</t>
        </is>
      </c>
      <c r="H4" s="2" t="n"/>
      <c r="I4" s="2" t="n"/>
      <c r="J4" s="2" t="n"/>
    </row>
    <row r="5">
      <c r="A5" s="5">
        <f>COUNTA('Nhap lieu'!A5:A64)</f>
        <v/>
      </c>
      <c r="B5" s="2" t="n"/>
      <c r="C5" s="5">
        <f>SUM('Nhap lieu'!D5:D64)</f>
        <v/>
      </c>
      <c r="D5" s="2" t="n"/>
      <c r="E5" s="5">
        <f>SUM('Nhap lieu'!E5:E64)</f>
        <v/>
      </c>
      <c r="F5" s="2" t="n"/>
      <c r="G5" s="5">
        <f>AVERAGEIF('Nhap lieu'!G5:G64,"&gt;0",'Nhap lieu'!G5:G64)</f>
        <v/>
      </c>
      <c r="H5" s="2" t="n"/>
      <c r="I5" s="2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6" t="inlineStr">
        <is>
          <t>Bang tom tat uu tien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7" t="inlineStr">
        <is>
          <t>Hang muc</t>
        </is>
      </c>
      <c r="B10" s="7" t="inlineStr">
        <is>
          <t>Ke hoach</t>
        </is>
      </c>
      <c r="C10" s="7" t="inlineStr">
        <is>
          <t>Thuc te</t>
        </is>
      </c>
      <c r="D10" s="7" t="inlineStr">
        <is>
          <t>Trang thai</t>
        </is>
      </c>
      <c r="E10" s="2" t="n"/>
      <c r="F10" s="2" t="n"/>
      <c r="G10" s="2" t="n"/>
      <c r="H10" s="2" t="n"/>
      <c r="I10" s="2" t="n"/>
      <c r="J10" s="2" t="n"/>
    </row>
    <row r="11">
      <c r="A11" s="2">
        <f>'Nhap lieu'!C5</f>
        <v/>
      </c>
      <c r="B11" s="2">
        <f>'Nhap lieu'!D5</f>
        <v/>
      </c>
      <c r="C11" s="2">
        <f>'Nhap lieu'!E5</f>
        <v/>
      </c>
      <c r="D11" s="2">
        <f>'Nhap lieu'!H5</f>
        <v/>
      </c>
      <c r="E11" s="2" t="n"/>
      <c r="F11" s="2" t="n"/>
      <c r="G11" s="2" t="n"/>
      <c r="H11" s="2" t="n"/>
      <c r="I11" s="2" t="n"/>
      <c r="J11" s="2" t="n"/>
    </row>
    <row r="12">
      <c r="A12" s="2">
        <f>'Nhap lieu'!C6</f>
        <v/>
      </c>
      <c r="B12" s="2">
        <f>'Nhap lieu'!D6</f>
        <v/>
      </c>
      <c r="C12" s="2">
        <f>'Nhap lieu'!E6</f>
        <v/>
      </c>
      <c r="D12" s="2">
        <f>'Nhap lieu'!H6</f>
        <v/>
      </c>
      <c r="E12" s="2" t="n"/>
      <c r="F12" s="2" t="n"/>
      <c r="G12" s="2" t="n"/>
      <c r="H12" s="2" t="n"/>
      <c r="I12" s="2" t="n"/>
      <c r="J12" s="2" t="n"/>
    </row>
    <row r="13">
      <c r="A13" s="2">
        <f>'Nhap lieu'!C7</f>
        <v/>
      </c>
      <c r="B13" s="2">
        <f>'Nhap lieu'!D7</f>
        <v/>
      </c>
      <c r="C13" s="2">
        <f>'Nhap lieu'!E7</f>
        <v/>
      </c>
      <c r="D13" s="2">
        <f>'Nhap lieu'!H7</f>
        <v/>
      </c>
      <c r="E13" s="2" t="n"/>
      <c r="F13" s="2" t="n"/>
      <c r="G13" s="2" t="n"/>
      <c r="H13" s="2" t="n"/>
      <c r="I13" s="2" t="n"/>
      <c r="J13" s="2" t="n"/>
    </row>
    <row r="14">
      <c r="A14" s="2">
        <f>'Nhap lieu'!C8</f>
        <v/>
      </c>
      <c r="B14" s="2">
        <f>'Nhap lieu'!D8</f>
        <v/>
      </c>
      <c r="C14" s="2">
        <f>'Nhap lieu'!E8</f>
        <v/>
      </c>
      <c r="D14" s="2">
        <f>'Nhap lieu'!H8</f>
        <v/>
      </c>
      <c r="E14" s="2" t="n"/>
      <c r="F14" s="2" t="n"/>
      <c r="G14" s="2" t="n"/>
      <c r="H14" s="2" t="n"/>
      <c r="I14" s="2" t="n"/>
      <c r="J14" s="2" t="n"/>
    </row>
    <row r="15">
      <c r="A15" s="2">
        <f>'Nhap lieu'!C9</f>
        <v/>
      </c>
      <c r="B15" s="2">
        <f>'Nhap lieu'!D9</f>
        <v/>
      </c>
      <c r="C15" s="2">
        <f>'Nhap lieu'!E9</f>
        <v/>
      </c>
      <c r="D15" s="2">
        <f>'Nhap lieu'!H9</f>
        <v/>
      </c>
      <c r="E15" s="2" t="n"/>
      <c r="F15" s="2" t="n"/>
      <c r="G15" s="2" t="n"/>
      <c r="H15" s="2" t="n"/>
      <c r="I15" s="2" t="n"/>
      <c r="J15" s="2" t="n"/>
    </row>
    <row r="16">
      <c r="A16" s="2">
        <f>'Nhap lieu'!C10</f>
        <v/>
      </c>
      <c r="B16" s="2">
        <f>'Nhap lieu'!D10</f>
        <v/>
      </c>
      <c r="C16" s="2">
        <f>'Nhap lieu'!E10</f>
        <v/>
      </c>
      <c r="D16" s="2">
        <f>'Nhap lieu'!H10</f>
        <v/>
      </c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6" t="inlineStr">
        <is>
          <t>Xu huong 12 muc dau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7" t="inlineStr">
        <is>
          <t>Muc</t>
        </is>
      </c>
      <c r="B22" s="7" t="inlineStr">
        <is>
          <t>Ke hoach</t>
        </is>
      </c>
      <c r="C22" s="7" t="inlineStr">
        <is>
          <t>Thuc hien</t>
        </is>
      </c>
      <c r="D22" s="2" t="n"/>
      <c r="E22" s="2" t="n"/>
      <c r="F22" s="2" t="n"/>
      <c r="G22" s="2" t="n"/>
      <c r="H22" s="2" t="n"/>
      <c r="I22" s="2" t="n"/>
      <c r="J22" s="2" t="n"/>
    </row>
    <row r="23">
      <c r="A23" s="2">
        <f>'Nhap lieu'!C5</f>
        <v/>
      </c>
      <c r="B23" s="2">
        <f>'Nhap lieu'!D5</f>
        <v/>
      </c>
      <c r="C23" s="2">
        <f>'Nhap lieu'!E5</f>
        <v/>
      </c>
      <c r="D23" s="2" t="n"/>
      <c r="E23" s="2" t="n"/>
      <c r="F23" s="2" t="n"/>
      <c r="G23" s="2" t="n"/>
      <c r="H23" s="2" t="n"/>
      <c r="I23" s="2" t="n"/>
      <c r="J23" s="2" t="n"/>
    </row>
    <row r="24">
      <c r="A24" s="2">
        <f>'Nhap lieu'!C6</f>
        <v/>
      </c>
      <c r="B24" s="2">
        <f>'Nhap lieu'!D6</f>
        <v/>
      </c>
      <c r="C24" s="2">
        <f>'Nhap lieu'!E6</f>
        <v/>
      </c>
      <c r="D24" s="2" t="n"/>
      <c r="E24" s="2" t="n"/>
      <c r="F24" s="2" t="n"/>
      <c r="G24" s="2" t="n"/>
      <c r="H24" s="2" t="n"/>
      <c r="I24" s="2" t="n"/>
      <c r="J24" s="2" t="n"/>
    </row>
    <row r="25">
      <c r="A25" s="2">
        <f>'Nhap lieu'!C7</f>
        <v/>
      </c>
      <c r="B25" s="2">
        <f>'Nhap lieu'!D7</f>
        <v/>
      </c>
      <c r="C25" s="2">
        <f>'Nhap lieu'!E7</f>
        <v/>
      </c>
      <c r="D25" s="2" t="n"/>
      <c r="E25" s="2" t="n"/>
      <c r="F25" s="2" t="n"/>
      <c r="G25" s="2" t="n"/>
      <c r="H25" s="2" t="n"/>
      <c r="I25" s="2" t="n"/>
      <c r="J25" s="2" t="n"/>
    </row>
    <row r="26">
      <c r="A26" s="2">
        <f>'Nhap lieu'!C8</f>
        <v/>
      </c>
      <c r="B26" s="2">
        <f>'Nhap lieu'!D8</f>
        <v/>
      </c>
      <c r="C26" s="2">
        <f>'Nhap lieu'!E8</f>
        <v/>
      </c>
      <c r="D26" s="2" t="n"/>
      <c r="E26" s="2" t="n"/>
      <c r="F26" s="2" t="n"/>
      <c r="G26" s="2" t="n"/>
      <c r="H26" s="2" t="n"/>
      <c r="I26" s="2" t="n"/>
      <c r="J26" s="2" t="n"/>
    </row>
    <row r="27">
      <c r="A27" s="2">
        <f>'Nhap lieu'!C9</f>
        <v/>
      </c>
      <c r="B27" s="2">
        <f>'Nhap lieu'!D9</f>
        <v/>
      </c>
      <c r="C27" s="2">
        <f>'Nhap lieu'!E9</f>
        <v/>
      </c>
      <c r="D27" s="2" t="n"/>
      <c r="E27" s="2" t="n"/>
      <c r="F27" s="2" t="n"/>
      <c r="G27" s="2" t="n"/>
      <c r="H27" s="2" t="n"/>
      <c r="I27" s="2" t="n"/>
      <c r="J27" s="2" t="n"/>
    </row>
    <row r="28">
      <c r="A28" s="2">
        <f>'Nhap lieu'!C10</f>
        <v/>
      </c>
      <c r="B28" s="2">
        <f>'Nhap lieu'!D10</f>
        <v/>
      </c>
      <c r="C28" s="2">
        <f>'Nhap lieu'!E10</f>
        <v/>
      </c>
      <c r="D28" s="2" t="n"/>
      <c r="E28" s="2" t="n"/>
      <c r="F28" s="2" t="n"/>
      <c r="G28" s="2" t="n"/>
      <c r="H28" s="2" t="n"/>
      <c r="I28" s="2" t="n"/>
      <c r="J28" s="2" t="n"/>
    </row>
    <row r="29">
      <c r="A29" s="2">
        <f>'Nhap lieu'!C11</f>
        <v/>
      </c>
      <c r="B29" s="2">
        <f>'Nhap lieu'!D11</f>
        <v/>
      </c>
      <c r="C29" s="2">
        <f>'Nhap lieu'!E11</f>
        <v/>
      </c>
      <c r="D29" s="2" t="n"/>
      <c r="E29" s="2" t="n"/>
      <c r="F29" s="2" t="n"/>
      <c r="G29" s="2" t="n"/>
      <c r="H29" s="2" t="n"/>
      <c r="I29" s="2" t="n"/>
      <c r="J29" s="2" t="n"/>
    </row>
    <row r="30">
      <c r="A30" s="2">
        <f>'Nhap lieu'!C12</f>
        <v/>
      </c>
      <c r="B30" s="2">
        <f>'Nhap lieu'!D12</f>
        <v/>
      </c>
      <c r="C30" s="2">
        <f>'Nhap lieu'!E12</f>
        <v/>
      </c>
      <c r="D30" s="2" t="n"/>
      <c r="E30" s="2" t="n"/>
      <c r="F30" s="2" t="n"/>
      <c r="G30" s="2" t="n"/>
      <c r="H30" s="2" t="n"/>
      <c r="I30" s="2" t="n"/>
      <c r="J30" s="2" t="n"/>
    </row>
    <row r="31">
      <c r="A31" s="2">
        <f>'Nhap lieu'!C13</f>
        <v/>
      </c>
      <c r="B31" s="2">
        <f>'Nhap lieu'!D13</f>
        <v/>
      </c>
      <c r="C31" s="2">
        <f>'Nhap lieu'!E13</f>
        <v/>
      </c>
      <c r="D31" s="2" t="n"/>
      <c r="E31" s="2" t="n"/>
      <c r="F31" s="2" t="n"/>
      <c r="G31" s="2" t="n"/>
      <c r="H31" s="2" t="n"/>
      <c r="I31" s="2" t="n"/>
      <c r="J31" s="2" t="n"/>
    </row>
    <row r="32">
      <c r="A32" s="2">
        <f>'Nhap lieu'!C14</f>
        <v/>
      </c>
      <c r="B32" s="2">
        <f>'Nhap lieu'!D14</f>
        <v/>
      </c>
      <c r="C32" s="2">
        <f>'Nhap lieu'!E14</f>
        <v/>
      </c>
      <c r="D32" s="2" t="n"/>
      <c r="E32" s="2" t="n"/>
      <c r="F32" s="2" t="n"/>
      <c r="G32" s="2" t="n"/>
      <c r="H32" s="2" t="n"/>
      <c r="I32" s="2" t="n"/>
      <c r="J32" s="2" t="n"/>
    </row>
    <row r="33">
      <c r="A33" s="2">
        <f>'Nhap lieu'!C15</f>
        <v/>
      </c>
      <c r="B33" s="2">
        <f>'Nhap lieu'!D15</f>
        <v/>
      </c>
      <c r="C33" s="2">
        <f>'Nhap lieu'!E15</f>
        <v/>
      </c>
      <c r="D33" s="2" t="n"/>
      <c r="E33" s="2" t="n"/>
      <c r="F33" s="2" t="n"/>
      <c r="G33" s="2" t="n"/>
      <c r="H33" s="2" t="n"/>
      <c r="I33" s="2" t="n"/>
      <c r="J33" s="2" t="n"/>
    </row>
    <row r="34">
      <c r="A34" s="2">
        <f>'Nhap lieu'!C16</f>
        <v/>
      </c>
      <c r="B34" s="2">
        <f>'Nhap lieu'!D16</f>
        <v/>
      </c>
      <c r="C34" s="2">
        <f>'Nhap lieu'!E16</f>
        <v/>
      </c>
      <c r="D34" s="2" t="n"/>
      <c r="E34" s="2" t="n"/>
      <c r="F34" s="2" t="n"/>
      <c r="G34" s="2" t="n"/>
      <c r="H34" s="2" t="n"/>
      <c r="I34" s="2" t="n"/>
      <c r="J34" s="2" t="n"/>
    </row>
  </sheetData>
  <mergeCells count="10">
    <mergeCell ref="A4:B4"/>
    <mergeCell ref="G4:H4"/>
    <mergeCell ref="A1:J1"/>
    <mergeCell ref="E4:F4"/>
    <mergeCell ref="C5:D5"/>
    <mergeCell ref="A5:B5"/>
    <mergeCell ref="G5:H5"/>
    <mergeCell ref="E5:F5"/>
    <mergeCell ref="A2:J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Dao tao Nhan su chuyen nghiep 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Nhap du lieu tai bang ben duoi. Cac cot tinh toan da co cong thuc mau.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8" t="inlineStr">
        <is>
          <t>Ma NV</t>
        </is>
      </c>
      <c r="B4" s="8" t="inlineStr">
        <is>
          <t>Ho ten</t>
        </is>
      </c>
      <c r="C4" s="8" t="inlineStr">
        <is>
          <t>Bo phan</t>
        </is>
      </c>
      <c r="D4" s="8" t="inlineStr">
        <is>
          <t>Chuc danh</t>
        </is>
      </c>
      <c r="E4" s="8" t="inlineStr">
        <is>
          <t>Ngay cong</t>
        </is>
      </c>
      <c r="F4" s="8" t="inlineStr">
        <is>
          <t>Luong co ban</t>
        </is>
      </c>
      <c r="G4" s="8" t="inlineStr">
        <is>
          <t>Phu cap</t>
        </is>
      </c>
      <c r="H4" s="8" t="inlineStr">
        <is>
          <t>Khau tru</t>
        </is>
      </c>
      <c r="I4" s="8" t="inlineStr">
        <is>
          <t>Tong cong</t>
        </is>
      </c>
      <c r="J4" s="8" t="inlineStr">
        <is>
          <t>Trang thai</t>
        </is>
      </c>
    </row>
    <row r="5">
      <c r="A5" s="9" t="inlineStr">
        <is>
          <t>Ma NV 01</t>
        </is>
      </c>
      <c r="B5" s="9" t="inlineStr">
        <is>
          <t>Ho ten 01</t>
        </is>
      </c>
      <c r="C5" s="9" t="inlineStr">
        <is>
          <t>Tai chinh</t>
        </is>
      </c>
      <c r="D5" s="9" t="inlineStr">
        <is>
          <t>Chuc danh 01</t>
        </is>
      </c>
      <c r="E5" s="10" t="n">
        <v>46054</v>
      </c>
      <c r="F5" s="11" t="n">
        <v>2250000</v>
      </c>
      <c r="G5" s="11" t="n">
        <v>2250000</v>
      </c>
      <c r="H5" s="11" t="n">
        <v>2250000</v>
      </c>
      <c r="I5" s="11">
        <f>F5+G5-H5</f>
        <v/>
      </c>
      <c r="J5" s="9" t="inlineStr">
        <is>
          <t>Dang xu ly</t>
        </is>
      </c>
    </row>
    <row r="6">
      <c r="A6" s="9" t="inlineStr">
        <is>
          <t>Ma NV 02</t>
        </is>
      </c>
      <c r="B6" s="9" t="inlineStr">
        <is>
          <t>Ho ten 02</t>
        </is>
      </c>
      <c r="C6" s="9" t="inlineStr">
        <is>
          <t>Nhan su</t>
        </is>
      </c>
      <c r="D6" s="9" t="inlineStr">
        <is>
          <t>Chuc danh 02</t>
        </is>
      </c>
      <c r="E6" s="10" t="n">
        <v>46083</v>
      </c>
      <c r="F6" s="11" t="n">
        <v>3000000</v>
      </c>
      <c r="G6" s="11" t="n">
        <v>3000000</v>
      </c>
      <c r="H6" s="11" t="n">
        <v>3000000</v>
      </c>
      <c r="I6" s="11">
        <f>F6+G6-H6</f>
        <v/>
      </c>
      <c r="J6" s="9" t="inlineStr">
        <is>
          <t>Dung tien do</t>
        </is>
      </c>
    </row>
    <row r="7">
      <c r="A7" s="9" t="inlineStr">
        <is>
          <t>Ma NV 03</t>
        </is>
      </c>
      <c r="B7" s="9" t="inlineStr">
        <is>
          <t>Ho ten 03</t>
        </is>
      </c>
      <c r="C7" s="9" t="inlineStr">
        <is>
          <t>Van hanh</t>
        </is>
      </c>
      <c r="D7" s="9" t="inlineStr">
        <is>
          <t>Chuc danh 03</t>
        </is>
      </c>
      <c r="E7" s="10" t="n">
        <v>46115</v>
      </c>
      <c r="F7" s="11" t="n">
        <v>3750000</v>
      </c>
      <c r="G7" s="11" t="n">
        <v>3750000</v>
      </c>
      <c r="H7" s="11" t="n">
        <v>3750000</v>
      </c>
      <c r="I7" s="11">
        <f>F7+G7-H7</f>
        <v/>
      </c>
      <c r="J7" s="9" t="inlineStr">
        <is>
          <t>Can chu y</t>
        </is>
      </c>
    </row>
    <row r="8">
      <c r="A8" s="9" t="inlineStr">
        <is>
          <t>Ma NV 04</t>
        </is>
      </c>
      <c r="B8" s="9" t="inlineStr">
        <is>
          <t>Ho ten 04</t>
        </is>
      </c>
      <c r="C8" s="9" t="inlineStr">
        <is>
          <t>Marketing</t>
        </is>
      </c>
      <c r="D8" s="9" t="inlineStr">
        <is>
          <t>Chuc danh 04</t>
        </is>
      </c>
      <c r="E8" s="10" t="n">
        <v>46146</v>
      </c>
      <c r="F8" s="11" t="n">
        <v>4500000</v>
      </c>
      <c r="G8" s="11" t="n">
        <v>4500000</v>
      </c>
      <c r="H8" s="11" t="n">
        <v>4500000</v>
      </c>
      <c r="I8" s="11">
        <f>F8+G8-H8</f>
        <v/>
      </c>
      <c r="J8" s="9" t="inlineStr">
        <is>
          <t>Hoan tat</t>
        </is>
      </c>
    </row>
    <row r="9">
      <c r="A9" s="9" t="inlineStr">
        <is>
          <t>Ma NV 05</t>
        </is>
      </c>
      <c r="B9" s="9" t="inlineStr">
        <is>
          <t>Ho ten 05</t>
        </is>
      </c>
      <c r="C9" s="9" t="inlineStr">
        <is>
          <t>Ban giam doc</t>
        </is>
      </c>
      <c r="D9" s="9" t="inlineStr">
        <is>
          <t>Chuc danh 05</t>
        </is>
      </c>
      <c r="E9" s="10" t="n">
        <v>46178</v>
      </c>
      <c r="F9" s="11" t="n">
        <v>5250000</v>
      </c>
      <c r="G9" s="11" t="n">
        <v>5250000</v>
      </c>
      <c r="H9" s="11" t="n">
        <v>5250000</v>
      </c>
      <c r="I9" s="11">
        <f>F9+G9-H9</f>
        <v/>
      </c>
      <c r="J9" s="9" t="inlineStr">
        <is>
          <t>Moi</t>
        </is>
      </c>
    </row>
    <row r="10">
      <c r="A10" s="9" t="inlineStr">
        <is>
          <t>Ma NV 06</t>
        </is>
      </c>
      <c r="B10" s="9" t="inlineStr">
        <is>
          <t>Ho ten 06</t>
        </is>
      </c>
      <c r="C10" s="9" t="inlineStr">
        <is>
          <t>Kinh doanh</t>
        </is>
      </c>
      <c r="D10" s="9" t="inlineStr">
        <is>
          <t>Chuc danh 06</t>
        </is>
      </c>
      <c r="E10" s="10" t="n">
        <v>46209</v>
      </c>
      <c r="F10" s="11" t="n">
        <v>6000000</v>
      </c>
      <c r="G10" s="11" t="n">
        <v>6000000</v>
      </c>
      <c r="H10" s="11" t="n">
        <v>6000000</v>
      </c>
      <c r="I10" s="11">
        <f>F10+G10-H10</f>
        <v/>
      </c>
      <c r="J10" s="9" t="inlineStr">
        <is>
          <t>Dang xu ly</t>
        </is>
      </c>
    </row>
    <row r="11">
      <c r="A11" s="9" t="inlineStr">
        <is>
          <t>Ma NV 07</t>
        </is>
      </c>
      <c r="B11" s="9" t="inlineStr">
        <is>
          <t>Ho ten 07</t>
        </is>
      </c>
      <c r="C11" s="9" t="inlineStr">
        <is>
          <t>Tai chinh</t>
        </is>
      </c>
      <c r="D11" s="9" t="inlineStr">
        <is>
          <t>Chuc danh 07</t>
        </is>
      </c>
      <c r="E11" s="10" t="n">
        <v>46241</v>
      </c>
      <c r="F11" s="11" t="n">
        <v>6750000</v>
      </c>
      <c r="G11" s="11" t="n">
        <v>6750000</v>
      </c>
      <c r="H11" s="11" t="n">
        <v>6750000</v>
      </c>
      <c r="I11" s="11">
        <f>F11+G11-H11</f>
        <v/>
      </c>
      <c r="J11" s="9" t="inlineStr">
        <is>
          <t>Dung tien do</t>
        </is>
      </c>
    </row>
    <row r="12">
      <c r="A12" s="9" t="inlineStr">
        <is>
          <t>Ma NV 08</t>
        </is>
      </c>
      <c r="B12" s="9" t="inlineStr">
        <is>
          <t>Ho ten 08</t>
        </is>
      </c>
      <c r="C12" s="9" t="inlineStr">
        <is>
          <t>Nhan su</t>
        </is>
      </c>
      <c r="D12" s="9" t="inlineStr">
        <is>
          <t>Chuc danh 08</t>
        </is>
      </c>
      <c r="E12" s="10" t="n">
        <v>46273</v>
      </c>
      <c r="F12" s="11" t="n">
        <v>7500000</v>
      </c>
      <c r="G12" s="11" t="n">
        <v>7500000</v>
      </c>
      <c r="H12" s="11" t="n">
        <v>7500000</v>
      </c>
      <c r="I12" s="11">
        <f>F12+G12-H12</f>
        <v/>
      </c>
      <c r="J12" s="9" t="inlineStr">
        <is>
          <t>Can chu y</t>
        </is>
      </c>
    </row>
    <row r="13">
      <c r="A13" s="9" t="inlineStr">
        <is>
          <t>Ma NV 09</t>
        </is>
      </c>
      <c r="B13" s="9" t="inlineStr">
        <is>
          <t>Ho ten 09</t>
        </is>
      </c>
      <c r="C13" s="9" t="inlineStr">
        <is>
          <t>Van hanh</t>
        </is>
      </c>
      <c r="D13" s="9" t="inlineStr">
        <is>
          <t>Chuc danh 09</t>
        </is>
      </c>
      <c r="E13" s="10" t="n">
        <v>46304</v>
      </c>
      <c r="F13" s="11" t="n">
        <v>8250000</v>
      </c>
      <c r="G13" s="11" t="n">
        <v>8250000</v>
      </c>
      <c r="H13" s="11" t="n">
        <v>8250000</v>
      </c>
      <c r="I13" s="11">
        <f>F13+G13-H13</f>
        <v/>
      </c>
      <c r="J13" s="9" t="inlineStr">
        <is>
          <t>Hoan tat</t>
        </is>
      </c>
    </row>
    <row r="14">
      <c r="A14" s="9" t="inlineStr">
        <is>
          <t>Ma NV 10</t>
        </is>
      </c>
      <c r="B14" s="9" t="inlineStr">
        <is>
          <t>Ho ten 10</t>
        </is>
      </c>
      <c r="C14" s="9" t="inlineStr">
        <is>
          <t>Marketing</t>
        </is>
      </c>
      <c r="D14" s="9" t="inlineStr">
        <is>
          <t>Chuc danh 10</t>
        </is>
      </c>
      <c r="E14" s="10" t="n">
        <v>46336</v>
      </c>
      <c r="F14" s="11" t="n">
        <v>9000000</v>
      </c>
      <c r="G14" s="11" t="n">
        <v>9000000</v>
      </c>
      <c r="H14" s="11" t="n">
        <v>9000000</v>
      </c>
      <c r="I14" s="11">
        <f>F14+G14-H14</f>
        <v/>
      </c>
      <c r="J14" s="9" t="inlineStr">
        <is>
          <t>Moi</t>
        </is>
      </c>
    </row>
    <row r="15">
      <c r="A15" s="9" t="inlineStr">
        <is>
          <t>Ma NV 11</t>
        </is>
      </c>
      <c r="B15" s="9" t="inlineStr">
        <is>
          <t>Ho ten 11</t>
        </is>
      </c>
      <c r="C15" s="9" t="inlineStr">
        <is>
          <t>Ban giam doc</t>
        </is>
      </c>
      <c r="D15" s="9" t="inlineStr">
        <is>
          <t>Chuc danh 11</t>
        </is>
      </c>
      <c r="E15" s="10" t="n">
        <v>46367</v>
      </c>
      <c r="F15" s="11" t="n">
        <v>9750000</v>
      </c>
      <c r="G15" s="11" t="n">
        <v>9750000</v>
      </c>
      <c r="H15" s="11" t="n">
        <v>9750000</v>
      </c>
      <c r="I15" s="11">
        <f>F15+G15-H15</f>
        <v/>
      </c>
      <c r="J15" s="9" t="inlineStr">
        <is>
          <t>Dang xu ly</t>
        </is>
      </c>
    </row>
    <row r="16">
      <c r="A16" s="9" t="inlineStr">
        <is>
          <t>Ma NV 12</t>
        </is>
      </c>
      <c r="B16" s="9" t="inlineStr">
        <is>
          <t>Ho ten 12</t>
        </is>
      </c>
      <c r="C16" s="9" t="inlineStr">
        <is>
          <t>Kinh doanh</t>
        </is>
      </c>
      <c r="D16" s="9" t="inlineStr">
        <is>
          <t>Chuc danh 12</t>
        </is>
      </c>
      <c r="E16" s="10" t="n">
        <v>46034</v>
      </c>
      <c r="F16" s="11" t="n">
        <v>10500000</v>
      </c>
      <c r="G16" s="11" t="n">
        <v>10500000</v>
      </c>
      <c r="H16" s="11" t="n">
        <v>10500000</v>
      </c>
      <c r="I16" s="11">
        <f>F16+G16-H16</f>
        <v/>
      </c>
      <c r="J16" s="9" t="inlineStr">
        <is>
          <t>Dung tien do</t>
        </is>
      </c>
    </row>
    <row r="17">
      <c r="A17" s="9" t="inlineStr">
        <is>
          <t>Ma NV 13</t>
        </is>
      </c>
      <c r="B17" s="9" t="inlineStr">
        <is>
          <t>Ho ten 13</t>
        </is>
      </c>
      <c r="C17" s="9" t="inlineStr">
        <is>
          <t>Tai chinh</t>
        </is>
      </c>
      <c r="D17" s="9" t="inlineStr">
        <is>
          <t>Chuc danh 13</t>
        </is>
      </c>
      <c r="E17" s="10" t="n">
        <v>46066</v>
      </c>
      <c r="F17" s="11" t="n">
        <v>11250000</v>
      </c>
      <c r="G17" s="11" t="n">
        <v>11250000</v>
      </c>
      <c r="H17" s="11" t="n">
        <v>11250000</v>
      </c>
      <c r="I17" s="11">
        <f>F17+G17-H17</f>
        <v/>
      </c>
      <c r="J17" s="9" t="inlineStr">
        <is>
          <t>Can chu y</t>
        </is>
      </c>
    </row>
    <row r="18">
      <c r="A18" s="9" t="inlineStr">
        <is>
          <t>Ma NV 14</t>
        </is>
      </c>
      <c r="B18" s="9" t="inlineStr">
        <is>
          <t>Ho ten 14</t>
        </is>
      </c>
      <c r="C18" s="9" t="inlineStr">
        <is>
          <t>Nhan su</t>
        </is>
      </c>
      <c r="D18" s="9" t="inlineStr">
        <is>
          <t>Chuc danh 14</t>
        </is>
      </c>
      <c r="E18" s="10" t="n">
        <v>46095</v>
      </c>
      <c r="F18" s="11" t="n">
        <v>12000000</v>
      </c>
      <c r="G18" s="11" t="n">
        <v>12000000</v>
      </c>
      <c r="H18" s="11" t="n">
        <v>12000000</v>
      </c>
      <c r="I18" s="11">
        <f>F18+G18-H18</f>
        <v/>
      </c>
      <c r="J18" s="9" t="inlineStr">
        <is>
          <t>Hoan tat</t>
        </is>
      </c>
    </row>
    <row r="19">
      <c r="A19" s="9" t="inlineStr">
        <is>
          <t>Ma NV 15</t>
        </is>
      </c>
      <c r="B19" s="9" t="inlineStr">
        <is>
          <t>Ho ten 15</t>
        </is>
      </c>
      <c r="C19" s="9" t="inlineStr">
        <is>
          <t>Van hanh</t>
        </is>
      </c>
      <c r="D19" s="9" t="inlineStr">
        <is>
          <t>Chuc danh 15</t>
        </is>
      </c>
      <c r="E19" s="10" t="n">
        <v>46127</v>
      </c>
      <c r="F19" s="11" t="n">
        <v>12750000</v>
      </c>
      <c r="G19" s="11" t="n">
        <v>12750000</v>
      </c>
      <c r="H19" s="11" t="n">
        <v>12750000</v>
      </c>
      <c r="I19" s="11">
        <f>F19+G19-H19</f>
        <v/>
      </c>
      <c r="J19" s="9" t="inlineStr">
        <is>
          <t>Moi</t>
        </is>
      </c>
    </row>
    <row r="20">
      <c r="A20" s="9" t="inlineStr">
        <is>
          <t>Ma NV 16</t>
        </is>
      </c>
      <c r="B20" s="9" t="inlineStr">
        <is>
          <t>Ho ten 16</t>
        </is>
      </c>
      <c r="C20" s="9" t="inlineStr">
        <is>
          <t>Marketing</t>
        </is>
      </c>
      <c r="D20" s="9" t="inlineStr">
        <is>
          <t>Chuc danh 16</t>
        </is>
      </c>
      <c r="E20" s="10" t="n">
        <v>46158</v>
      </c>
      <c r="F20" s="11" t="n">
        <v>13500000</v>
      </c>
      <c r="G20" s="11" t="n">
        <v>13500000</v>
      </c>
      <c r="H20" s="11" t="n">
        <v>13500000</v>
      </c>
      <c r="I20" s="11">
        <f>F20+G20-H20</f>
        <v/>
      </c>
      <c r="J20" s="9" t="inlineStr">
        <is>
          <t>Dang xu ly</t>
        </is>
      </c>
    </row>
    <row r="21">
      <c r="A21" s="9" t="inlineStr">
        <is>
          <t>Ma NV 17</t>
        </is>
      </c>
      <c r="B21" s="9" t="inlineStr">
        <is>
          <t>Ho ten 17</t>
        </is>
      </c>
      <c r="C21" s="9" t="inlineStr">
        <is>
          <t>Ban giam doc</t>
        </is>
      </c>
      <c r="D21" s="9" t="inlineStr">
        <is>
          <t>Chuc danh 17</t>
        </is>
      </c>
      <c r="E21" s="10" t="n">
        <v>46190</v>
      </c>
      <c r="F21" s="11" t="n">
        <v>14250000</v>
      </c>
      <c r="G21" s="11" t="n">
        <v>14250000</v>
      </c>
      <c r="H21" s="11" t="n">
        <v>14250000</v>
      </c>
      <c r="I21" s="11">
        <f>F21+G21-H21</f>
        <v/>
      </c>
      <c r="J21" s="9" t="inlineStr">
        <is>
          <t>Dung tien do</t>
        </is>
      </c>
    </row>
    <row r="22">
      <c r="A22" s="9" t="inlineStr">
        <is>
          <t>Ma NV 18</t>
        </is>
      </c>
      <c r="B22" s="9" t="inlineStr">
        <is>
          <t>Ho ten 18</t>
        </is>
      </c>
      <c r="C22" s="9" t="inlineStr">
        <is>
          <t>Kinh doanh</t>
        </is>
      </c>
      <c r="D22" s="9" t="inlineStr">
        <is>
          <t>Chuc danh 18</t>
        </is>
      </c>
      <c r="E22" s="10" t="n">
        <v>46221</v>
      </c>
      <c r="F22" s="11" t="n">
        <v>15000000</v>
      </c>
      <c r="G22" s="11" t="n">
        <v>15000000</v>
      </c>
      <c r="H22" s="11" t="n">
        <v>15000000</v>
      </c>
      <c r="I22" s="11">
        <f>F22+G22-H22</f>
        <v/>
      </c>
      <c r="J22" s="9" t="inlineStr">
        <is>
          <t>Can chu y</t>
        </is>
      </c>
    </row>
    <row r="23">
      <c r="A23" s="9" t="inlineStr">
        <is>
          <t>Ma NV 19</t>
        </is>
      </c>
      <c r="B23" s="9" t="inlineStr">
        <is>
          <t>Ho ten 19</t>
        </is>
      </c>
      <c r="C23" s="9" t="inlineStr">
        <is>
          <t>Tai chinh</t>
        </is>
      </c>
      <c r="D23" s="9" t="inlineStr">
        <is>
          <t>Chuc danh 19</t>
        </is>
      </c>
      <c r="E23" s="10" t="n">
        <v>46253</v>
      </c>
      <c r="F23" s="11" t="n">
        <v>15750000</v>
      </c>
      <c r="G23" s="11" t="n">
        <v>15750000</v>
      </c>
      <c r="H23" s="11" t="n">
        <v>15750000</v>
      </c>
      <c r="I23" s="11">
        <f>F23+G23-H23</f>
        <v/>
      </c>
      <c r="J23" s="9" t="inlineStr">
        <is>
          <t>Hoan tat</t>
        </is>
      </c>
    </row>
    <row r="24">
      <c r="A24" s="9" t="inlineStr">
        <is>
          <t>Ma NV 20</t>
        </is>
      </c>
      <c r="B24" s="9" t="inlineStr">
        <is>
          <t>Ho ten 20</t>
        </is>
      </c>
      <c r="C24" s="9" t="inlineStr">
        <is>
          <t>Nhan su</t>
        </is>
      </c>
      <c r="D24" s="9" t="inlineStr">
        <is>
          <t>Chuc danh 20</t>
        </is>
      </c>
      <c r="E24" s="10" t="n">
        <v>46285</v>
      </c>
      <c r="F24" s="11" t="n">
        <v>16500000</v>
      </c>
      <c r="G24" s="11" t="n">
        <v>16500000</v>
      </c>
      <c r="H24" s="11" t="n">
        <v>16500000</v>
      </c>
      <c r="I24" s="11">
        <f>F24+G24-H24</f>
        <v/>
      </c>
      <c r="J24" s="9" t="inlineStr">
        <is>
          <t>Moi</t>
        </is>
      </c>
    </row>
    <row r="25">
      <c r="A25" s="9" t="inlineStr">
        <is>
          <t>Ma NV 21</t>
        </is>
      </c>
      <c r="B25" s="9" t="inlineStr">
        <is>
          <t>Ho ten 21</t>
        </is>
      </c>
      <c r="C25" s="9" t="inlineStr">
        <is>
          <t>Van hanh</t>
        </is>
      </c>
      <c r="D25" s="9" t="inlineStr">
        <is>
          <t>Chuc danh 21</t>
        </is>
      </c>
      <c r="E25" s="10" t="n">
        <v>46316</v>
      </c>
      <c r="F25" s="11" t="n">
        <v>17250000</v>
      </c>
      <c r="G25" s="11" t="n">
        <v>17250000</v>
      </c>
      <c r="H25" s="11" t="n">
        <v>17250000</v>
      </c>
      <c r="I25" s="11">
        <f>F25+G25-H25</f>
        <v/>
      </c>
      <c r="J25" s="9" t="inlineStr">
        <is>
          <t>Dang xu ly</t>
        </is>
      </c>
    </row>
    <row r="26">
      <c r="A26" s="9" t="inlineStr">
        <is>
          <t>Ma NV 22</t>
        </is>
      </c>
      <c r="B26" s="9" t="inlineStr">
        <is>
          <t>Ho ten 22</t>
        </is>
      </c>
      <c r="C26" s="9" t="inlineStr">
        <is>
          <t>Marketing</t>
        </is>
      </c>
      <c r="D26" s="9" t="inlineStr">
        <is>
          <t>Chuc danh 22</t>
        </is>
      </c>
      <c r="E26" s="10" t="n">
        <v>46348</v>
      </c>
      <c r="F26" s="11" t="n">
        <v>18000000</v>
      </c>
      <c r="G26" s="11" t="n">
        <v>18000000</v>
      </c>
      <c r="H26" s="11" t="n">
        <v>18000000</v>
      </c>
      <c r="I26" s="11">
        <f>F26+G26-H26</f>
        <v/>
      </c>
      <c r="J26" s="9" t="inlineStr">
        <is>
          <t>Dung tien do</t>
        </is>
      </c>
    </row>
    <row r="27">
      <c r="A27" s="9" t="inlineStr">
        <is>
          <t>Ma NV 23</t>
        </is>
      </c>
      <c r="B27" s="9" t="inlineStr">
        <is>
          <t>Ho ten 23</t>
        </is>
      </c>
      <c r="C27" s="9" t="inlineStr">
        <is>
          <t>Ban giam doc</t>
        </is>
      </c>
      <c r="D27" s="9" t="inlineStr">
        <is>
          <t>Chuc danh 23</t>
        </is>
      </c>
      <c r="E27" s="10" t="n">
        <v>46379</v>
      </c>
      <c r="F27" s="11" t="n">
        <v>18750000</v>
      </c>
      <c r="G27" s="11" t="n">
        <v>18750000</v>
      </c>
      <c r="H27" s="11" t="n">
        <v>18750000</v>
      </c>
      <c r="I27" s="11">
        <f>F27+G27-H27</f>
        <v/>
      </c>
      <c r="J27" s="9" t="inlineStr">
        <is>
          <t>Can chu y</t>
        </is>
      </c>
    </row>
    <row r="28">
      <c r="A28" s="9" t="inlineStr">
        <is>
          <t>Ma NV 24</t>
        </is>
      </c>
      <c r="B28" s="9" t="inlineStr">
        <is>
          <t>Ho ten 24</t>
        </is>
      </c>
      <c r="C28" s="9" t="inlineStr">
        <is>
          <t>Kinh doanh</t>
        </is>
      </c>
      <c r="D28" s="9" t="inlineStr">
        <is>
          <t>Chuc danh 24</t>
        </is>
      </c>
      <c r="E28" s="10" t="n">
        <v>46046</v>
      </c>
      <c r="F28" s="11" t="n">
        <v>19500000</v>
      </c>
      <c r="G28" s="11" t="n">
        <v>19500000</v>
      </c>
      <c r="H28" s="11" t="n">
        <v>19500000</v>
      </c>
      <c r="I28" s="11">
        <f>F28+G28-H28</f>
        <v/>
      </c>
      <c r="J28" s="9" t="inlineStr">
        <is>
          <t>Hoan tat</t>
        </is>
      </c>
    </row>
    <row r="29">
      <c r="A29" s="9" t="inlineStr">
        <is>
          <t>Ma NV 25</t>
        </is>
      </c>
      <c r="B29" s="9" t="inlineStr">
        <is>
          <t>Ho ten 25</t>
        </is>
      </c>
      <c r="C29" s="9" t="inlineStr">
        <is>
          <t>Tai chinh</t>
        </is>
      </c>
      <c r="D29" s="9" t="inlineStr">
        <is>
          <t>Chuc danh 25</t>
        </is>
      </c>
      <c r="E29" s="10" t="n">
        <v>46078</v>
      </c>
      <c r="F29" s="11" t="n">
        <v>20250000</v>
      </c>
      <c r="G29" s="11" t="n">
        <v>20250000</v>
      </c>
      <c r="H29" s="11" t="n">
        <v>20250000</v>
      </c>
      <c r="I29" s="11">
        <f>F29+G29-H29</f>
        <v/>
      </c>
      <c r="J29" s="9" t="inlineStr">
        <is>
          <t>Moi</t>
        </is>
      </c>
    </row>
    <row r="30">
      <c r="A30" s="9" t="inlineStr">
        <is>
          <t>Ma NV 26</t>
        </is>
      </c>
      <c r="B30" s="9" t="inlineStr">
        <is>
          <t>Ho ten 26</t>
        </is>
      </c>
      <c r="C30" s="9" t="inlineStr">
        <is>
          <t>Nhan su</t>
        </is>
      </c>
      <c r="D30" s="9" t="inlineStr">
        <is>
          <t>Chuc danh 26</t>
        </is>
      </c>
      <c r="E30" s="10" t="n">
        <v>46107</v>
      </c>
      <c r="F30" s="11" t="n">
        <v>21000000</v>
      </c>
      <c r="G30" s="11" t="n">
        <v>21000000</v>
      </c>
      <c r="H30" s="11" t="n">
        <v>21000000</v>
      </c>
      <c r="I30" s="11">
        <f>F30+G30-H30</f>
        <v/>
      </c>
      <c r="J30" s="9" t="inlineStr">
        <is>
          <t>Dang xu ly</t>
        </is>
      </c>
    </row>
    <row r="31">
      <c r="A31" s="9" t="inlineStr">
        <is>
          <t>Ma NV 27</t>
        </is>
      </c>
      <c r="B31" s="9" t="inlineStr">
        <is>
          <t>Ho ten 27</t>
        </is>
      </c>
      <c r="C31" s="9" t="inlineStr">
        <is>
          <t>Van hanh</t>
        </is>
      </c>
      <c r="D31" s="9" t="inlineStr">
        <is>
          <t>Chuc danh 27</t>
        </is>
      </c>
      <c r="E31" s="10" t="n">
        <v>46139</v>
      </c>
      <c r="F31" s="11" t="n">
        <v>21750000</v>
      </c>
      <c r="G31" s="11" t="n">
        <v>21750000</v>
      </c>
      <c r="H31" s="11" t="n">
        <v>21750000</v>
      </c>
      <c r="I31" s="11">
        <f>F31+G31-H31</f>
        <v/>
      </c>
      <c r="J31" s="9" t="inlineStr">
        <is>
          <t>Dung tien do</t>
        </is>
      </c>
    </row>
    <row r="32">
      <c r="A32" s="9" t="inlineStr">
        <is>
          <t>Ma NV 28</t>
        </is>
      </c>
      <c r="B32" s="9" t="inlineStr">
        <is>
          <t>Ho ten 28</t>
        </is>
      </c>
      <c r="C32" s="9" t="inlineStr">
        <is>
          <t>Marketing</t>
        </is>
      </c>
      <c r="D32" s="9" t="inlineStr">
        <is>
          <t>Chuc danh 28</t>
        </is>
      </c>
      <c r="E32" s="10" t="n">
        <v>46170</v>
      </c>
      <c r="F32" s="11" t="n">
        <v>22500000</v>
      </c>
      <c r="G32" s="11" t="n">
        <v>22500000</v>
      </c>
      <c r="H32" s="11" t="n">
        <v>22500000</v>
      </c>
      <c r="I32" s="11">
        <f>F32+G32-H32</f>
        <v/>
      </c>
      <c r="J32" s="9" t="inlineStr">
        <is>
          <t>Can chu y</t>
        </is>
      </c>
    </row>
    <row r="33">
      <c r="A33" s="9" t="inlineStr">
        <is>
          <t>Ma NV 29</t>
        </is>
      </c>
      <c r="B33" s="9" t="inlineStr">
        <is>
          <t>Ho ten 29</t>
        </is>
      </c>
      <c r="C33" s="9" t="inlineStr">
        <is>
          <t>Ban giam doc</t>
        </is>
      </c>
      <c r="D33" s="9" t="inlineStr">
        <is>
          <t>Chuc danh 29</t>
        </is>
      </c>
      <c r="E33" s="10" t="n">
        <v>46201</v>
      </c>
      <c r="F33" s="11" t="n">
        <v>23250000</v>
      </c>
      <c r="G33" s="11" t="n">
        <v>23250000</v>
      </c>
      <c r="H33" s="11" t="n">
        <v>23250000</v>
      </c>
      <c r="I33" s="11">
        <f>F33+G33-H33</f>
        <v/>
      </c>
      <c r="J33" s="9" t="inlineStr">
        <is>
          <t>Hoan tat</t>
        </is>
      </c>
    </row>
    <row r="34">
      <c r="A34" s="9" t="inlineStr">
        <is>
          <t>Ma NV 30</t>
        </is>
      </c>
      <c r="B34" s="9" t="inlineStr">
        <is>
          <t>Ho ten 30</t>
        </is>
      </c>
      <c r="C34" s="9" t="inlineStr">
        <is>
          <t>Kinh doanh</t>
        </is>
      </c>
      <c r="D34" s="9" t="inlineStr">
        <is>
          <t>Chuc danh 30</t>
        </is>
      </c>
      <c r="E34" s="10" t="n">
        <v>46231</v>
      </c>
      <c r="F34" s="11" t="n">
        <v>24000000</v>
      </c>
      <c r="G34" s="11" t="n">
        <v>24000000</v>
      </c>
      <c r="H34" s="11" t="n">
        <v>24000000</v>
      </c>
      <c r="I34" s="11">
        <f>F34+G34-H34</f>
        <v/>
      </c>
      <c r="J34" s="9" t="inlineStr">
        <is>
          <t>Moi</t>
        </is>
      </c>
    </row>
    <row r="35">
      <c r="A35" s="9" t="inlineStr">
        <is>
          <t>Ma NV 31</t>
        </is>
      </c>
      <c r="B35" s="9" t="inlineStr">
        <is>
          <t>Ho ten 31</t>
        </is>
      </c>
      <c r="C35" s="9" t="inlineStr">
        <is>
          <t>Tai chinh</t>
        </is>
      </c>
      <c r="D35" s="9" t="inlineStr">
        <is>
          <t>Chuc danh 31</t>
        </is>
      </c>
      <c r="E35" s="10" t="n">
        <v>46262</v>
      </c>
      <c r="F35" s="11" t="n">
        <v>24750000</v>
      </c>
      <c r="G35" s="11" t="n">
        <v>24750000</v>
      </c>
      <c r="H35" s="11" t="n">
        <v>24750000</v>
      </c>
      <c r="I35" s="11">
        <f>F35+G35-H35</f>
        <v/>
      </c>
      <c r="J35" s="9" t="inlineStr">
        <is>
          <t>Dang xu ly</t>
        </is>
      </c>
    </row>
    <row r="36">
      <c r="A36" s="9" t="inlineStr">
        <is>
          <t>Ma NV 32</t>
        </is>
      </c>
      <c r="B36" s="9" t="inlineStr">
        <is>
          <t>Ho ten 32</t>
        </is>
      </c>
      <c r="C36" s="9" t="inlineStr">
        <is>
          <t>Nhan su</t>
        </is>
      </c>
      <c r="D36" s="9" t="inlineStr">
        <is>
          <t>Chuc danh 32</t>
        </is>
      </c>
      <c r="E36" s="10" t="n">
        <v>46293</v>
      </c>
      <c r="F36" s="11" t="n">
        <v>25500000</v>
      </c>
      <c r="G36" s="11" t="n">
        <v>25500000</v>
      </c>
      <c r="H36" s="11" t="n">
        <v>25500000</v>
      </c>
      <c r="I36" s="11">
        <f>F36+G36-H36</f>
        <v/>
      </c>
      <c r="J36" s="9" t="inlineStr">
        <is>
          <t>Dung tien do</t>
        </is>
      </c>
    </row>
    <row r="37">
      <c r="A37" s="9" t="inlineStr">
        <is>
          <t>Ma NV 33</t>
        </is>
      </c>
      <c r="B37" s="9" t="inlineStr">
        <is>
          <t>Ho ten 33</t>
        </is>
      </c>
      <c r="C37" s="9" t="inlineStr">
        <is>
          <t>Van hanh</t>
        </is>
      </c>
      <c r="D37" s="9" t="inlineStr">
        <is>
          <t>Chuc danh 33</t>
        </is>
      </c>
      <c r="E37" s="10" t="n">
        <v>46323</v>
      </c>
      <c r="F37" s="11" t="n">
        <v>26250000</v>
      </c>
      <c r="G37" s="11" t="n">
        <v>26250000</v>
      </c>
      <c r="H37" s="11" t="n">
        <v>26250000</v>
      </c>
      <c r="I37" s="11">
        <f>F37+G37-H37</f>
        <v/>
      </c>
      <c r="J37" s="9" t="inlineStr">
        <is>
          <t>Can chu y</t>
        </is>
      </c>
    </row>
    <row r="38">
      <c r="A38" s="9" t="inlineStr">
        <is>
          <t>Ma NV 34</t>
        </is>
      </c>
      <c r="B38" s="9" t="inlineStr">
        <is>
          <t>Ho ten 34</t>
        </is>
      </c>
      <c r="C38" s="9" t="inlineStr">
        <is>
          <t>Marketing</t>
        </is>
      </c>
      <c r="D38" s="9" t="inlineStr">
        <is>
          <t>Chuc danh 34</t>
        </is>
      </c>
      <c r="E38" s="10" t="n">
        <v>46354</v>
      </c>
      <c r="F38" s="11" t="n">
        <v>27000000</v>
      </c>
      <c r="G38" s="11" t="n">
        <v>27000000</v>
      </c>
      <c r="H38" s="11" t="n">
        <v>27000000</v>
      </c>
      <c r="I38" s="11">
        <f>F38+G38-H38</f>
        <v/>
      </c>
      <c r="J38" s="9" t="inlineStr">
        <is>
          <t>Hoan tat</t>
        </is>
      </c>
    </row>
    <row r="39">
      <c r="A39" s="9" t="inlineStr">
        <is>
          <t>Ma NV 35</t>
        </is>
      </c>
      <c r="B39" s="9" t="inlineStr">
        <is>
          <t>Ho ten 35</t>
        </is>
      </c>
      <c r="C39" s="9" t="inlineStr">
        <is>
          <t>Ban giam doc</t>
        </is>
      </c>
      <c r="D39" s="9" t="inlineStr">
        <is>
          <t>Chuc danh 35</t>
        </is>
      </c>
      <c r="E39" s="10" t="n">
        <v>46384</v>
      </c>
      <c r="F39" s="11" t="n">
        <v>27750000</v>
      </c>
      <c r="G39" s="11" t="n">
        <v>27750000</v>
      </c>
      <c r="H39" s="11" t="n">
        <v>27750000</v>
      </c>
      <c r="I39" s="11">
        <f>F39+G39-H39</f>
        <v/>
      </c>
      <c r="J39" s="9" t="inlineStr">
        <is>
          <t>Moi</t>
        </is>
      </c>
    </row>
    <row r="40">
      <c r="A40" s="9" t="inlineStr">
        <is>
          <t>Ma NV 36</t>
        </is>
      </c>
      <c r="B40" s="9" t="inlineStr">
        <is>
          <t>Ho ten 36</t>
        </is>
      </c>
      <c r="C40" s="9" t="inlineStr">
        <is>
          <t>Kinh doanh</t>
        </is>
      </c>
      <c r="D40" s="9" t="inlineStr">
        <is>
          <t>Chuc danh 36</t>
        </is>
      </c>
      <c r="E40" s="10" t="n">
        <v>46050</v>
      </c>
      <c r="F40" s="11" t="n">
        <v>28500000</v>
      </c>
      <c r="G40" s="11" t="n">
        <v>28500000</v>
      </c>
      <c r="H40" s="11" t="n">
        <v>28500000</v>
      </c>
      <c r="I40" s="11">
        <f>F40+G40-H40</f>
        <v/>
      </c>
      <c r="J40" s="9" t="inlineStr">
        <is>
          <t>Dang xu ly</t>
        </is>
      </c>
    </row>
    <row r="41">
      <c r="A41" s="9" t="inlineStr">
        <is>
          <t>Ma NV 37</t>
        </is>
      </c>
      <c r="B41" s="9" t="inlineStr">
        <is>
          <t>Ho ten 37</t>
        </is>
      </c>
      <c r="C41" s="9" t="inlineStr">
        <is>
          <t>Tai chinh</t>
        </is>
      </c>
      <c r="D41" s="9" t="inlineStr">
        <is>
          <t>Chuc danh 37</t>
        </is>
      </c>
      <c r="E41" s="10" t="n">
        <v>46081</v>
      </c>
      <c r="F41" s="11" t="n">
        <v>29250000</v>
      </c>
      <c r="G41" s="11" t="n">
        <v>29250000</v>
      </c>
      <c r="H41" s="11" t="n">
        <v>29250000</v>
      </c>
      <c r="I41" s="11">
        <f>F41+G41-H41</f>
        <v/>
      </c>
      <c r="J41" s="9" t="inlineStr">
        <is>
          <t>Dung tien do</t>
        </is>
      </c>
    </row>
    <row r="42">
      <c r="A42" s="9" t="inlineStr">
        <is>
          <t>Ma NV 38</t>
        </is>
      </c>
      <c r="B42" s="9" t="inlineStr">
        <is>
          <t>Ho ten 38</t>
        </is>
      </c>
      <c r="C42" s="9" t="inlineStr">
        <is>
          <t>Nhan su</t>
        </is>
      </c>
      <c r="D42" s="9" t="inlineStr">
        <is>
          <t>Chuc danh 38</t>
        </is>
      </c>
      <c r="E42" s="10" t="n">
        <v>46109</v>
      </c>
      <c r="F42" s="11" t="n">
        <v>30000000</v>
      </c>
      <c r="G42" s="11" t="n">
        <v>30000000</v>
      </c>
      <c r="H42" s="11" t="n">
        <v>30000000</v>
      </c>
      <c r="I42" s="11">
        <f>F42+G42-H42</f>
        <v/>
      </c>
      <c r="J42" s="9" t="inlineStr">
        <is>
          <t>Can chu y</t>
        </is>
      </c>
    </row>
    <row r="43">
      <c r="A43" s="9" t="inlineStr">
        <is>
          <t>Ma NV 39</t>
        </is>
      </c>
      <c r="B43" s="9" t="inlineStr">
        <is>
          <t>Ho ten 39</t>
        </is>
      </c>
      <c r="C43" s="9" t="inlineStr">
        <is>
          <t>Van hanh</t>
        </is>
      </c>
      <c r="D43" s="9" t="inlineStr">
        <is>
          <t>Chuc danh 39</t>
        </is>
      </c>
      <c r="E43" s="10" t="n">
        <v>46140</v>
      </c>
      <c r="F43" s="11" t="n">
        <v>30750000</v>
      </c>
      <c r="G43" s="11" t="n">
        <v>30750000</v>
      </c>
      <c r="H43" s="11" t="n">
        <v>30750000</v>
      </c>
      <c r="I43" s="11">
        <f>F43+G43-H43</f>
        <v/>
      </c>
      <c r="J43" s="9" t="inlineStr">
        <is>
          <t>Hoan tat</t>
        </is>
      </c>
    </row>
    <row r="44">
      <c r="A44" s="9" t="inlineStr">
        <is>
          <t>Ma NV 40</t>
        </is>
      </c>
      <c r="B44" s="9" t="inlineStr">
        <is>
          <t>Ho ten 40</t>
        </is>
      </c>
      <c r="C44" s="9" t="inlineStr">
        <is>
          <t>Marketing</t>
        </is>
      </c>
      <c r="D44" s="9" t="inlineStr">
        <is>
          <t>Chuc danh 40</t>
        </is>
      </c>
      <c r="E44" s="10" t="n">
        <v>46170</v>
      </c>
      <c r="F44" s="11" t="n">
        <v>31500000</v>
      </c>
      <c r="G44" s="11" t="n">
        <v>31500000</v>
      </c>
      <c r="H44" s="11" t="n">
        <v>31500000</v>
      </c>
      <c r="I44" s="11">
        <f>F44+G44-H44</f>
        <v/>
      </c>
      <c r="J44" s="9" t="inlineStr">
        <is>
          <t>Moi</t>
        </is>
      </c>
    </row>
    <row r="45">
      <c r="A45" s="9" t="inlineStr">
        <is>
          <t>Ma NV 41</t>
        </is>
      </c>
      <c r="B45" s="9" t="inlineStr">
        <is>
          <t>Ho ten 41</t>
        </is>
      </c>
      <c r="C45" s="9" t="inlineStr">
        <is>
          <t>Ban giam doc</t>
        </is>
      </c>
      <c r="D45" s="9" t="inlineStr">
        <is>
          <t>Chuc danh 41</t>
        </is>
      </c>
      <c r="E45" s="10" t="n">
        <v>46201</v>
      </c>
      <c r="F45" s="11" t="n">
        <v>32250000</v>
      </c>
      <c r="G45" s="11" t="n">
        <v>32250000</v>
      </c>
      <c r="H45" s="11" t="n">
        <v>32250000</v>
      </c>
      <c r="I45" s="11">
        <f>F45+G45-H45</f>
        <v/>
      </c>
      <c r="J45" s="9" t="inlineStr">
        <is>
          <t>Dang xu ly</t>
        </is>
      </c>
    </row>
    <row r="46">
      <c r="A46" s="9" t="inlineStr">
        <is>
          <t>Ma NV 42</t>
        </is>
      </c>
      <c r="B46" s="9" t="inlineStr">
        <is>
          <t>Ho ten 42</t>
        </is>
      </c>
      <c r="C46" s="9" t="inlineStr">
        <is>
          <t>Kinh doanh</t>
        </is>
      </c>
      <c r="D46" s="9" t="inlineStr">
        <is>
          <t>Chuc danh 42</t>
        </is>
      </c>
      <c r="E46" s="10" t="n">
        <v>46231</v>
      </c>
      <c r="F46" s="11" t="n">
        <v>33000000</v>
      </c>
      <c r="G46" s="11" t="n">
        <v>33000000</v>
      </c>
      <c r="H46" s="11" t="n">
        <v>33000000</v>
      </c>
      <c r="I46" s="11">
        <f>F46+G46-H46</f>
        <v/>
      </c>
      <c r="J46" s="9" t="inlineStr">
        <is>
          <t>Dung tien do</t>
        </is>
      </c>
    </row>
    <row r="47">
      <c r="A47" s="9" t="inlineStr">
        <is>
          <t>Ma NV 43</t>
        </is>
      </c>
      <c r="B47" s="9" t="inlineStr">
        <is>
          <t>Ho ten 43</t>
        </is>
      </c>
      <c r="C47" s="9" t="inlineStr">
        <is>
          <t>Tai chinh</t>
        </is>
      </c>
      <c r="D47" s="9" t="inlineStr">
        <is>
          <t>Chuc danh 43</t>
        </is>
      </c>
      <c r="E47" s="10" t="n">
        <v>46262</v>
      </c>
      <c r="F47" s="11" t="n">
        <v>33750000</v>
      </c>
      <c r="G47" s="11" t="n">
        <v>33750000</v>
      </c>
      <c r="H47" s="11" t="n">
        <v>33750000</v>
      </c>
      <c r="I47" s="11">
        <f>F47+G47-H47</f>
        <v/>
      </c>
      <c r="J47" s="9" t="inlineStr">
        <is>
          <t>Can chu y</t>
        </is>
      </c>
    </row>
    <row r="48">
      <c r="A48" s="9" t="inlineStr">
        <is>
          <t>Ma NV 44</t>
        </is>
      </c>
      <c r="B48" s="9" t="inlineStr">
        <is>
          <t>Ho ten 44</t>
        </is>
      </c>
      <c r="C48" s="9" t="inlineStr">
        <is>
          <t>Nhan su</t>
        </is>
      </c>
      <c r="D48" s="9" t="inlineStr">
        <is>
          <t>Chuc danh 44</t>
        </is>
      </c>
      <c r="E48" s="10" t="n">
        <v>46293</v>
      </c>
      <c r="F48" s="11" t="n">
        <v>34500000</v>
      </c>
      <c r="G48" s="11" t="n">
        <v>34500000</v>
      </c>
      <c r="H48" s="11" t="n">
        <v>34500000</v>
      </c>
      <c r="I48" s="11">
        <f>F48+G48-H48</f>
        <v/>
      </c>
      <c r="J48" s="9" t="inlineStr">
        <is>
          <t>Hoan tat</t>
        </is>
      </c>
    </row>
    <row r="49">
      <c r="A49" s="9" t="inlineStr">
        <is>
          <t>Ma NV 45</t>
        </is>
      </c>
      <c r="B49" s="9" t="inlineStr">
        <is>
          <t>Ho ten 45</t>
        </is>
      </c>
      <c r="C49" s="9" t="inlineStr">
        <is>
          <t>Van hanh</t>
        </is>
      </c>
      <c r="D49" s="9" t="inlineStr">
        <is>
          <t>Chuc danh 45</t>
        </is>
      </c>
      <c r="E49" s="10" t="n">
        <v>46323</v>
      </c>
      <c r="F49" s="11" t="n">
        <v>35250000</v>
      </c>
      <c r="G49" s="11" t="n">
        <v>35250000</v>
      </c>
      <c r="H49" s="11" t="n">
        <v>35250000</v>
      </c>
      <c r="I49" s="11">
        <f>F49+G49-H49</f>
        <v/>
      </c>
      <c r="J49" s="9" t="inlineStr">
        <is>
          <t>Moi</t>
        </is>
      </c>
    </row>
    <row r="50">
      <c r="A50" s="9" t="inlineStr">
        <is>
          <t>Ma NV 46</t>
        </is>
      </c>
      <c r="B50" s="9" t="inlineStr">
        <is>
          <t>Ho ten 46</t>
        </is>
      </c>
      <c r="C50" s="9" t="inlineStr">
        <is>
          <t>Marketing</t>
        </is>
      </c>
      <c r="D50" s="9" t="inlineStr">
        <is>
          <t>Chuc danh 46</t>
        </is>
      </c>
      <c r="E50" s="10" t="n">
        <v>46354</v>
      </c>
      <c r="F50" s="11" t="n">
        <v>36000000</v>
      </c>
      <c r="G50" s="11" t="n">
        <v>36000000</v>
      </c>
      <c r="H50" s="11" t="n">
        <v>36000000</v>
      </c>
      <c r="I50" s="11">
        <f>F50+G50-H50</f>
        <v/>
      </c>
      <c r="J50" s="9" t="inlineStr">
        <is>
          <t>Dang xu ly</t>
        </is>
      </c>
    </row>
    <row r="51">
      <c r="A51" s="9" t="inlineStr">
        <is>
          <t>Ma NV 47</t>
        </is>
      </c>
      <c r="B51" s="9" t="inlineStr">
        <is>
          <t>Ho ten 47</t>
        </is>
      </c>
      <c r="C51" s="9" t="inlineStr">
        <is>
          <t>Ban giam doc</t>
        </is>
      </c>
      <c r="D51" s="9" t="inlineStr">
        <is>
          <t>Chuc danh 47</t>
        </is>
      </c>
      <c r="E51" s="10" t="n">
        <v>46384</v>
      </c>
      <c r="F51" s="11" t="n">
        <v>36750000</v>
      </c>
      <c r="G51" s="11" t="n">
        <v>36750000</v>
      </c>
      <c r="H51" s="11" t="n">
        <v>36750000</v>
      </c>
      <c r="I51" s="11">
        <f>F51+G51-H51</f>
        <v/>
      </c>
      <c r="J51" s="9" t="inlineStr">
        <is>
          <t>Dung tien do</t>
        </is>
      </c>
    </row>
    <row r="52">
      <c r="A52" s="9" t="inlineStr">
        <is>
          <t>Ma NV 48</t>
        </is>
      </c>
      <c r="B52" s="9" t="inlineStr">
        <is>
          <t>Ho ten 48</t>
        </is>
      </c>
      <c r="C52" s="9" t="inlineStr">
        <is>
          <t>Kinh doanh</t>
        </is>
      </c>
      <c r="D52" s="9" t="inlineStr">
        <is>
          <t>Chuc danh 48</t>
        </is>
      </c>
      <c r="E52" s="10" t="n">
        <v>46050</v>
      </c>
      <c r="F52" s="11" t="n">
        <v>37500000</v>
      </c>
      <c r="G52" s="11" t="n">
        <v>37500000</v>
      </c>
      <c r="H52" s="11" t="n">
        <v>37500000</v>
      </c>
      <c r="I52" s="11">
        <f>F52+G52-H52</f>
        <v/>
      </c>
      <c r="J52" s="9" t="inlineStr">
        <is>
          <t>Can chu y</t>
        </is>
      </c>
    </row>
    <row r="53">
      <c r="A53" s="9" t="inlineStr">
        <is>
          <t>Ma NV 49</t>
        </is>
      </c>
      <c r="B53" s="9" t="inlineStr">
        <is>
          <t>Ho ten 49</t>
        </is>
      </c>
      <c r="C53" s="9" t="inlineStr">
        <is>
          <t>Tai chinh</t>
        </is>
      </c>
      <c r="D53" s="9" t="inlineStr">
        <is>
          <t>Chuc danh 49</t>
        </is>
      </c>
      <c r="E53" s="10" t="n">
        <v>46081</v>
      </c>
      <c r="F53" s="11" t="n">
        <v>38250000</v>
      </c>
      <c r="G53" s="11" t="n">
        <v>38250000</v>
      </c>
      <c r="H53" s="11" t="n">
        <v>38250000</v>
      </c>
      <c r="I53" s="11">
        <f>F53+G53-H53</f>
        <v/>
      </c>
      <c r="J53" s="9" t="inlineStr">
        <is>
          <t>Hoan tat</t>
        </is>
      </c>
    </row>
    <row r="54">
      <c r="A54" s="9" t="inlineStr">
        <is>
          <t>Ma NV 50</t>
        </is>
      </c>
      <c r="B54" s="9" t="inlineStr">
        <is>
          <t>Ho ten 50</t>
        </is>
      </c>
      <c r="C54" s="9" t="inlineStr">
        <is>
          <t>Nhan su</t>
        </is>
      </c>
      <c r="D54" s="9" t="inlineStr">
        <is>
          <t>Chuc danh 50</t>
        </is>
      </c>
      <c r="E54" s="10" t="n">
        <v>46109</v>
      </c>
      <c r="F54" s="11" t="n">
        <v>39000000</v>
      </c>
      <c r="G54" s="11" t="n">
        <v>39000000</v>
      </c>
      <c r="H54" s="11" t="n">
        <v>39000000</v>
      </c>
      <c r="I54" s="11">
        <f>F54+G54-H54</f>
        <v/>
      </c>
      <c r="J54" s="9" t="inlineStr">
        <is>
          <t>Moi</t>
        </is>
      </c>
    </row>
    <row r="55">
      <c r="A55" s="9" t="inlineStr">
        <is>
          <t>Ma NV 51</t>
        </is>
      </c>
      <c r="B55" s="9" t="inlineStr">
        <is>
          <t>Ho ten 51</t>
        </is>
      </c>
      <c r="C55" s="9" t="inlineStr">
        <is>
          <t>Van hanh</t>
        </is>
      </c>
      <c r="D55" s="9" t="inlineStr">
        <is>
          <t>Chuc danh 51</t>
        </is>
      </c>
      <c r="E55" s="10" t="n">
        <v>46140</v>
      </c>
      <c r="F55" s="11" t="n">
        <v>39750000</v>
      </c>
      <c r="G55" s="11" t="n">
        <v>39750000</v>
      </c>
      <c r="H55" s="11" t="n">
        <v>39750000</v>
      </c>
      <c r="I55" s="11">
        <f>F55+G55-H55</f>
        <v/>
      </c>
      <c r="J55" s="9" t="inlineStr">
        <is>
          <t>Dang xu ly</t>
        </is>
      </c>
    </row>
    <row r="56">
      <c r="A56" s="9" t="inlineStr">
        <is>
          <t>Ma NV 52</t>
        </is>
      </c>
      <c r="B56" s="9" t="inlineStr">
        <is>
          <t>Ho ten 52</t>
        </is>
      </c>
      <c r="C56" s="9" t="inlineStr">
        <is>
          <t>Marketing</t>
        </is>
      </c>
      <c r="D56" s="9" t="inlineStr">
        <is>
          <t>Chuc danh 52</t>
        </is>
      </c>
      <c r="E56" s="10" t="n">
        <v>46170</v>
      </c>
      <c r="F56" s="11" t="n">
        <v>40500000</v>
      </c>
      <c r="G56" s="11" t="n">
        <v>40500000</v>
      </c>
      <c r="H56" s="11" t="n">
        <v>40500000</v>
      </c>
      <c r="I56" s="11">
        <f>F56+G56-H56</f>
        <v/>
      </c>
      <c r="J56" s="9" t="inlineStr">
        <is>
          <t>Dung tien do</t>
        </is>
      </c>
    </row>
    <row r="57">
      <c r="A57" s="9" t="inlineStr">
        <is>
          <t>Ma NV 53</t>
        </is>
      </c>
      <c r="B57" s="9" t="inlineStr">
        <is>
          <t>Ho ten 53</t>
        </is>
      </c>
      <c r="C57" s="9" t="inlineStr">
        <is>
          <t>Ban giam doc</t>
        </is>
      </c>
      <c r="D57" s="9" t="inlineStr">
        <is>
          <t>Chuc danh 53</t>
        </is>
      </c>
      <c r="E57" s="10" t="n">
        <v>46201</v>
      </c>
      <c r="F57" s="11" t="n">
        <v>41250000</v>
      </c>
      <c r="G57" s="11" t="n">
        <v>41250000</v>
      </c>
      <c r="H57" s="11" t="n">
        <v>41250000</v>
      </c>
      <c r="I57" s="11">
        <f>F57+G57-H57</f>
        <v/>
      </c>
      <c r="J57" s="9" t="inlineStr">
        <is>
          <t>Can chu y</t>
        </is>
      </c>
    </row>
    <row r="58">
      <c r="A58" s="9" t="inlineStr">
        <is>
          <t>Ma NV 54</t>
        </is>
      </c>
      <c r="B58" s="9" t="inlineStr">
        <is>
          <t>Ho ten 54</t>
        </is>
      </c>
      <c r="C58" s="9" t="inlineStr">
        <is>
          <t>Kinh doanh</t>
        </is>
      </c>
      <c r="D58" s="9" t="inlineStr">
        <is>
          <t>Chuc danh 54</t>
        </is>
      </c>
      <c r="E58" s="10" t="n">
        <v>46231</v>
      </c>
      <c r="F58" s="11" t="n">
        <v>42000000</v>
      </c>
      <c r="G58" s="11" t="n">
        <v>42000000</v>
      </c>
      <c r="H58" s="11" t="n">
        <v>42000000</v>
      </c>
      <c r="I58" s="11">
        <f>F58+G58-H58</f>
        <v/>
      </c>
      <c r="J58" s="9" t="inlineStr">
        <is>
          <t>Hoan tat</t>
        </is>
      </c>
    </row>
    <row r="59">
      <c r="A59" s="9" t="inlineStr">
        <is>
          <t>Ma NV 55</t>
        </is>
      </c>
      <c r="B59" s="9" t="inlineStr">
        <is>
          <t>Ho ten 55</t>
        </is>
      </c>
      <c r="C59" s="9" t="inlineStr">
        <is>
          <t>Tai chinh</t>
        </is>
      </c>
      <c r="D59" s="9" t="inlineStr">
        <is>
          <t>Chuc danh 55</t>
        </is>
      </c>
      <c r="E59" s="10" t="n">
        <v>46262</v>
      </c>
      <c r="F59" s="11" t="n">
        <v>42750000</v>
      </c>
      <c r="G59" s="11" t="n">
        <v>42750000</v>
      </c>
      <c r="H59" s="11" t="n">
        <v>42750000</v>
      </c>
      <c r="I59" s="11">
        <f>F59+G59-H59</f>
        <v/>
      </c>
      <c r="J59" s="9" t="inlineStr">
        <is>
          <t>Moi</t>
        </is>
      </c>
    </row>
    <row r="60">
      <c r="A60" s="9" t="inlineStr">
        <is>
          <t>Ma NV 56</t>
        </is>
      </c>
      <c r="B60" s="9" t="inlineStr">
        <is>
          <t>Ho ten 56</t>
        </is>
      </c>
      <c r="C60" s="9" t="inlineStr">
        <is>
          <t>Nhan su</t>
        </is>
      </c>
      <c r="D60" s="9" t="inlineStr">
        <is>
          <t>Chuc danh 56</t>
        </is>
      </c>
      <c r="E60" s="10" t="n">
        <v>46293</v>
      </c>
      <c r="F60" s="11" t="n">
        <v>43500000</v>
      </c>
      <c r="G60" s="11" t="n">
        <v>43500000</v>
      </c>
      <c r="H60" s="11" t="n">
        <v>43500000</v>
      </c>
      <c r="I60" s="11">
        <f>F60+G60-H60</f>
        <v/>
      </c>
      <c r="J60" s="9" t="inlineStr">
        <is>
          <t>Dang xu ly</t>
        </is>
      </c>
    </row>
    <row r="61">
      <c r="A61" s="9" t="inlineStr">
        <is>
          <t>Ma NV 57</t>
        </is>
      </c>
      <c r="B61" s="9" t="inlineStr">
        <is>
          <t>Ho ten 57</t>
        </is>
      </c>
      <c r="C61" s="9" t="inlineStr">
        <is>
          <t>Van hanh</t>
        </is>
      </c>
      <c r="D61" s="9" t="inlineStr">
        <is>
          <t>Chuc danh 57</t>
        </is>
      </c>
      <c r="E61" s="10" t="n">
        <v>46323</v>
      </c>
      <c r="F61" s="11" t="n">
        <v>44250000</v>
      </c>
      <c r="G61" s="11" t="n">
        <v>44250000</v>
      </c>
      <c r="H61" s="11" t="n">
        <v>44250000</v>
      </c>
      <c r="I61" s="11">
        <f>F61+G61-H61</f>
        <v/>
      </c>
      <c r="J61" s="9" t="inlineStr">
        <is>
          <t>Dung tien do</t>
        </is>
      </c>
    </row>
    <row r="62">
      <c r="A62" s="9" t="inlineStr">
        <is>
          <t>Ma NV 58</t>
        </is>
      </c>
      <c r="B62" s="9" t="inlineStr">
        <is>
          <t>Ho ten 58</t>
        </is>
      </c>
      <c r="C62" s="9" t="inlineStr">
        <is>
          <t>Marketing</t>
        </is>
      </c>
      <c r="D62" s="9" t="inlineStr">
        <is>
          <t>Chuc danh 58</t>
        </is>
      </c>
      <c r="E62" s="10" t="n">
        <v>46354</v>
      </c>
      <c r="F62" s="11" t="n">
        <v>45000000</v>
      </c>
      <c r="G62" s="11" t="n">
        <v>45000000</v>
      </c>
      <c r="H62" s="11" t="n">
        <v>45000000</v>
      </c>
      <c r="I62" s="11">
        <f>F62+G62-H62</f>
        <v/>
      </c>
      <c r="J62" s="9" t="inlineStr">
        <is>
          <t>Can chu y</t>
        </is>
      </c>
    </row>
    <row r="63">
      <c r="A63" s="9" t="inlineStr">
        <is>
          <t>Ma NV 59</t>
        </is>
      </c>
      <c r="B63" s="9" t="inlineStr">
        <is>
          <t>Ho ten 59</t>
        </is>
      </c>
      <c r="C63" s="9" t="inlineStr">
        <is>
          <t>Ban giam doc</t>
        </is>
      </c>
      <c r="D63" s="9" t="inlineStr">
        <is>
          <t>Chuc danh 59</t>
        </is>
      </c>
      <c r="E63" s="10" t="n">
        <v>46384</v>
      </c>
      <c r="F63" s="11" t="n">
        <v>45750000</v>
      </c>
      <c r="G63" s="11" t="n">
        <v>45750000</v>
      </c>
      <c r="H63" s="11" t="n">
        <v>45750000</v>
      </c>
      <c r="I63" s="11">
        <f>F63+G63-H63</f>
        <v/>
      </c>
      <c r="J63" s="9" t="inlineStr">
        <is>
          <t>Hoan tat</t>
        </is>
      </c>
    </row>
    <row r="64">
      <c r="A64" s="9" t="inlineStr">
        <is>
          <t>Ma NV 60</t>
        </is>
      </c>
      <c r="B64" s="9" t="inlineStr">
        <is>
          <t>Ho ten 60</t>
        </is>
      </c>
      <c r="C64" s="9" t="inlineStr">
        <is>
          <t>Kinh doanh</t>
        </is>
      </c>
      <c r="D64" s="9" t="inlineStr">
        <is>
          <t>Chuc danh 60</t>
        </is>
      </c>
      <c r="E64" s="10" t="n">
        <v>46050</v>
      </c>
      <c r="F64" s="11" t="n">
        <v>46500000</v>
      </c>
      <c r="G64" s="11" t="n">
        <v>46500000</v>
      </c>
      <c r="H64" s="11" t="n">
        <v>46500000</v>
      </c>
      <c r="I64" s="11">
        <f>F64+G64-H64</f>
        <v/>
      </c>
      <c r="J64" s="9" t="inlineStr">
        <is>
          <t>Moi</t>
        </is>
      </c>
    </row>
  </sheetData>
  <autoFilter ref="A4:J64"/>
  <mergeCells count="2">
    <mergeCell ref="A1:J1"/>
    <mergeCell ref="A2:J2"/>
  </mergeCells>
  <conditionalFormatting sqref="A5:J64">
    <cfRule type="expression" priority="1" dxfId="0">
      <formula>$J5="Can chu y"</formula>
    </cfRule>
  </conditionalFormatting>
  <dataValidations count="2">
    <dataValidation sqref="J5:J200" showDropDown="0" showInputMessage="0" showErrorMessage="0" allowBlank="1" type="list">
      <formula1>"Moi,Dang xu ly,Dung tien do,Can chu y,Hoan tat"</formula1>
    </dataValidation>
    <dataValidation sqref="C5:C200" showDropDown="0" showInputMessage="0" showErrorMessage="0" allowBlank="1" type="list">
      <formula1>"Kinh doanh,Tai chinh,Nhan su,Van hanh,Marketing,Ban giam doc"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58" customWidth="1" min="3" max="3"/>
  </cols>
  <sheetData>
    <row r="1">
      <c r="A1" s="1" t="inlineStr">
        <is>
          <t>Control Panel</t>
        </is>
      </c>
      <c r="B1" s="2" t="n"/>
      <c r="C1" s="2" t="n"/>
      <c r="D1" s="2" t="n"/>
      <c r="E1" s="2" t="n"/>
      <c r="F1" s="2" t="n"/>
    </row>
    <row r="2">
      <c r="A2" s="3" t="inlineStr">
        <is>
          <t>Thiet lap tham so, muc tieu va thong tin quan tri template.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Tham so</t>
        </is>
      </c>
      <c r="B4" s="7" t="inlineStr">
        <is>
          <t>Gia tri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Ten template</t>
        </is>
      </c>
      <c r="B5" s="2" t="inlineStr">
        <is>
          <t>Dao tao Nhan su chuyen nghiep 2</t>
        </is>
      </c>
      <c r="C5" s="2" t="inlineStr">
        <is>
          <t>Thong tin nhan dien</t>
        </is>
      </c>
      <c r="D5" s="2" t="n"/>
      <c r="E5" s="2" t="n"/>
      <c r="F5" s="2" t="n"/>
    </row>
    <row r="6">
      <c r="A6" s="2" t="inlineStr">
        <is>
          <t>Nhom nghiep vu</t>
        </is>
      </c>
      <c r="B6" s="2" t="inlineStr">
        <is>
          <t>Nhan su</t>
        </is>
      </c>
      <c r="C6" s="2" t="inlineStr">
        <is>
          <t>Dung de loc va phan quyen</t>
        </is>
      </c>
      <c r="D6" s="2" t="n"/>
      <c r="E6" s="2" t="n"/>
      <c r="F6" s="2" t="n"/>
    </row>
    <row r="7">
      <c r="A7" s="2" t="inlineStr">
        <is>
          <t>Nam ke hoach</t>
        </is>
      </c>
      <c r="B7" s="2" t="n">
        <v>2026</v>
      </c>
      <c r="C7" s="2" t="inlineStr">
        <is>
          <t>Co the doi theo nam bao cao</t>
        </is>
      </c>
      <c r="D7" s="2" t="n"/>
      <c r="E7" s="2" t="n"/>
      <c r="F7" s="2" t="n"/>
    </row>
    <row r="8">
      <c r="A8" s="2" t="inlineStr">
        <is>
          <t>Don vi tien te</t>
        </is>
      </c>
      <c r="B8" s="12" t="inlineStr">
        <is>
          <t>VND</t>
        </is>
      </c>
      <c r="C8" s="2" t="inlineStr">
        <is>
          <t>Dung trong dinh dang tien</t>
        </is>
      </c>
      <c r="D8" s="2" t="n"/>
      <c r="E8" s="2" t="n"/>
      <c r="F8" s="2" t="n"/>
    </row>
    <row r="9">
      <c r="A9" s="2" t="inlineStr">
        <is>
          <t>Nguong canh bao</t>
        </is>
      </c>
      <c r="B9" s="12" t="n">
        <v>0.7</v>
      </c>
      <c r="C9" s="2" t="inlineStr">
        <is>
          <t>Ty le thap hon nguong se can chu y</t>
        </is>
      </c>
      <c r="D9" s="2" t="n"/>
      <c r="E9" s="2" t="n"/>
      <c r="F9" s="2" t="n"/>
    </row>
    <row r="10">
      <c r="A10" s="2" t="inlineStr">
        <is>
          <t>Muc tieu premium</t>
        </is>
      </c>
      <c r="B10" s="2" t="n">
        <v>0.9</v>
      </c>
      <c r="C10" s="2" t="inlineStr">
        <is>
          <t>Ty le dat ky vong</t>
        </is>
      </c>
      <c r="D10" s="2" t="n"/>
      <c r="E10" s="2" t="n"/>
      <c r="F10" s="2" t="n"/>
    </row>
    <row r="11">
      <c r="A11" s="2" t="inlineStr">
        <is>
          <t>Nguoi so huu</t>
        </is>
      </c>
      <c r="B11" s="2" t="inlineStr">
        <is>
          <t>Nguyen An</t>
        </is>
      </c>
      <c r="C11" s="2" t="inlineStr">
        <is>
          <t>Nguoi chiu trach nhiem cap nhat</t>
        </is>
      </c>
      <c r="D11" s="2" t="n"/>
      <c r="E11" s="2" t="n"/>
      <c r="F11" s="2" t="n"/>
    </row>
    <row r="12">
      <c r="A12" s="2" t="inlineStr">
        <is>
          <t>Phien ban</t>
        </is>
      </c>
      <c r="B12" s="2" t="inlineStr">
        <is>
          <t>2.0-premium</t>
        </is>
      </c>
      <c r="C12" s="2" t="inlineStr">
        <is>
          <t>Quan ly version noi bo</t>
        </is>
      </c>
      <c r="D12" s="2" t="n"/>
      <c r="E12" s="2" t="n"/>
      <c r="F12" s="2" t="n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20" customWidth="1" min="4" max="4"/>
    <col width="34" customWidth="1" min="5" max="5"/>
    <col width="14" customWidth="1" min="6" max="6"/>
  </cols>
  <sheetData>
    <row r="1">
      <c r="A1" s="1" t="inlineStr">
        <is>
          <t>Tu dien du lieu</t>
        </is>
      </c>
      <c r="B1" s="2" t="n"/>
      <c r="C1" s="2" t="n"/>
      <c r="D1" s="2" t="n"/>
      <c r="E1" s="2" t="n"/>
      <c r="F1" s="2" t="n"/>
    </row>
    <row r="2">
      <c r="A2" s="3" t="inlineStr">
        <is>
          <t>Mo ta cot, kieu du lieu, muc bat buoc va cong thuc lien quan.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Cot</t>
        </is>
      </c>
      <c r="B4" s="7" t="inlineStr">
        <is>
          <t>Kieu du lieu</t>
        </is>
      </c>
      <c r="C4" s="7" t="inlineStr">
        <is>
          <t>Bat buoc</t>
        </is>
      </c>
      <c r="D4" s="7" t="inlineStr">
        <is>
          <t>Nguon/Validation</t>
        </is>
      </c>
      <c r="E4" s="7" t="inlineStr">
        <is>
          <t>Cong thuc/Ghi chu</t>
        </is>
      </c>
      <c r="F4" s="7" t="inlineStr">
        <is>
          <t>Dung cho AI</t>
        </is>
      </c>
    </row>
    <row r="5">
      <c r="A5" s="2" t="inlineStr">
        <is>
          <t>Ma NV</t>
        </is>
      </c>
      <c r="B5" s="2" t="inlineStr">
        <is>
          <t>Van ban</t>
        </is>
      </c>
      <c r="C5" s="2" t="inlineStr">
        <is>
          <t>Co</t>
        </is>
      </c>
      <c r="D5" s="2" t="inlineStr">
        <is>
          <t>Nhap tay</t>
        </is>
      </c>
      <c r="E5" s="2" t="inlineStr">
        <is>
          <t>Nguoi dung cap nhat</t>
        </is>
      </c>
      <c r="F5" s="2" t="inlineStr">
        <is>
          <t>Co</t>
        </is>
      </c>
    </row>
    <row r="6">
      <c r="A6" s="2" t="inlineStr">
        <is>
          <t>Ho ten</t>
        </is>
      </c>
      <c r="B6" s="2" t="inlineStr">
        <is>
          <t>Van ban</t>
        </is>
      </c>
      <c r="C6" s="2" t="inlineStr">
        <is>
          <t>Co</t>
        </is>
      </c>
      <c r="D6" s="2" t="inlineStr">
        <is>
          <t>Nhap tay</t>
        </is>
      </c>
      <c r="E6" s="2" t="inlineStr">
        <is>
          <t>Nguoi dung cap nhat</t>
        </is>
      </c>
      <c r="F6" s="2" t="inlineStr">
        <is>
          <t>Co</t>
        </is>
      </c>
    </row>
    <row r="7">
      <c r="A7" s="2" t="inlineStr">
        <is>
          <t>Bo phan</t>
        </is>
      </c>
      <c r="B7" s="2" t="inlineStr">
        <is>
          <t>Van ban</t>
        </is>
      </c>
      <c r="C7" s="2" t="inlineStr">
        <is>
          <t>Co</t>
        </is>
      </c>
      <c r="D7" s="2" t="inlineStr">
        <is>
          <t>Dropdown</t>
        </is>
      </c>
      <c r="E7" s="2" t="inlineStr">
        <is>
          <t>Nguoi dung cap nhat</t>
        </is>
      </c>
      <c r="F7" s="2" t="inlineStr">
        <is>
          <t>Co</t>
        </is>
      </c>
    </row>
    <row r="8">
      <c r="A8" s="2" t="inlineStr">
        <is>
          <t>Chuc danh</t>
        </is>
      </c>
      <c r="B8" s="2" t="inlineStr">
        <is>
          <t>Van ban</t>
        </is>
      </c>
      <c r="C8" s="2" t="inlineStr">
        <is>
          <t>Co</t>
        </is>
      </c>
      <c r="D8" s="2" t="inlineStr">
        <is>
          <t>Nhap tay</t>
        </is>
      </c>
      <c r="E8" s="2" t="inlineStr">
        <is>
          <t>Nguoi dung cap nhat</t>
        </is>
      </c>
      <c r="F8" s="2" t="inlineStr">
        <is>
          <t>Co</t>
        </is>
      </c>
    </row>
    <row r="9">
      <c r="A9" s="2" t="inlineStr">
        <is>
          <t>Ngay cong</t>
        </is>
      </c>
      <c r="B9" s="2" t="inlineStr">
        <is>
          <t>Ngay</t>
        </is>
      </c>
      <c r="C9" s="2" t="inlineStr">
        <is>
          <t>Co</t>
        </is>
      </c>
      <c r="D9" s="2" t="inlineStr">
        <is>
          <t>Nhap tay</t>
        </is>
      </c>
      <c r="E9" s="2" t="inlineStr">
        <is>
          <t>Nguoi dung cap nhat</t>
        </is>
      </c>
      <c r="F9" s="2" t="inlineStr">
        <is>
          <t>Co</t>
        </is>
      </c>
    </row>
    <row r="10">
      <c r="A10" s="2" t="inlineStr">
        <is>
          <t>Luong co ban</t>
        </is>
      </c>
      <c r="B10" s="2" t="inlineStr">
        <is>
          <t>Tien te</t>
        </is>
      </c>
      <c r="C10" s="2" t="inlineStr">
        <is>
          <t>Co</t>
        </is>
      </c>
      <c r="D10" s="2" t="inlineStr">
        <is>
          <t>Nhap tay</t>
        </is>
      </c>
      <c r="E10" s="2" t="inlineStr">
        <is>
          <t>Nguoi dung cap nhat</t>
        </is>
      </c>
      <c r="F10" s="2" t="inlineStr">
        <is>
          <t>Co</t>
        </is>
      </c>
    </row>
    <row r="11">
      <c r="A11" s="2" t="inlineStr">
        <is>
          <t>Phu cap</t>
        </is>
      </c>
      <c r="B11" s="2" t="inlineStr">
        <is>
          <t>Van ban</t>
        </is>
      </c>
      <c r="C11" s="2" t="inlineStr">
        <is>
          <t>Co</t>
        </is>
      </c>
      <c r="D11" s="2" t="inlineStr">
        <is>
          <t>Nhap tay</t>
        </is>
      </c>
      <c r="E11" s="2" t="inlineStr">
        <is>
          <t>Nguoi dung cap nhat</t>
        </is>
      </c>
      <c r="F11" s="2" t="inlineStr">
        <is>
          <t>Co</t>
        </is>
      </c>
    </row>
    <row r="12">
      <c r="A12" s="2" t="inlineStr">
        <is>
          <t>Khau tru</t>
        </is>
      </c>
      <c r="B12" s="2" t="inlineStr">
        <is>
          <t>Van ban</t>
        </is>
      </c>
      <c r="C12" s="2" t="inlineStr">
        <is>
          <t>Co</t>
        </is>
      </c>
      <c r="D12" s="2" t="inlineStr">
        <is>
          <t>Nhap tay</t>
        </is>
      </c>
      <c r="E12" s="2" t="inlineStr">
        <is>
          <t>Nguoi dung cap nhat</t>
        </is>
      </c>
      <c r="F12" s="2" t="inlineStr">
        <is>
          <t>Co</t>
        </is>
      </c>
    </row>
    <row r="13">
      <c r="A13" s="2" t="inlineStr">
        <is>
          <t>Tong cong</t>
        </is>
      </c>
      <c r="B13" s="2" t="inlineStr">
        <is>
          <t>Van ban</t>
        </is>
      </c>
      <c r="C13" s="2" t="inlineStr">
        <is>
          <t>Co</t>
        </is>
      </c>
      <c r="D13" s="2" t="inlineStr">
        <is>
          <t>Nhap tay</t>
        </is>
      </c>
      <c r="E13" s="2" t="inlineStr">
        <is>
          <t>Cot tinh tu dong</t>
        </is>
      </c>
      <c r="F13" s="2" t="inlineStr">
        <is>
          <t>Co</t>
        </is>
      </c>
    </row>
    <row r="14">
      <c r="A14" s="2" t="inlineStr">
        <is>
          <t>Trang thai</t>
        </is>
      </c>
      <c r="B14" s="2" t="inlineStr">
        <is>
          <t>Van ban</t>
        </is>
      </c>
      <c r="C14" s="2" t="inlineStr">
        <is>
          <t>Co</t>
        </is>
      </c>
      <c r="D14" s="2" t="inlineStr">
        <is>
          <t>Dropdown</t>
        </is>
      </c>
      <c r="E14" s="2" t="inlineStr">
        <is>
          <t>Nguoi dung cap nhat</t>
        </is>
      </c>
      <c r="F14" s="2" t="inlineStr">
        <is>
          <t>Co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54" customWidth="1" min="3" max="3"/>
  </cols>
  <sheetData>
    <row r="1">
      <c r="A1" s="1" t="inlineStr">
        <is>
          <t>Kiem tra chat luong</t>
        </is>
      </c>
      <c r="B1" s="2" t="n"/>
      <c r="C1" s="2" t="n"/>
      <c r="D1" s="2" t="n"/>
      <c r="E1" s="2" t="n"/>
      <c r="F1" s="2" t="n"/>
    </row>
    <row r="2">
      <c r="A2" s="3" t="inlineStr">
        <is>
          <t>Checklist tu dong de phat hien dong thieu du lieu, canh bao va bat thuong.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Hang muc kiem tra</t>
        </is>
      </c>
      <c r="B4" s="7" t="inlineStr">
        <is>
          <t>Ket qua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So dong co du lieu</t>
        </is>
      </c>
      <c r="B5" s="2">
        <f>COUNTA('Nhap lieu'!A5:A64)</f>
        <v/>
      </c>
      <c r="C5" s="2" t="inlineStr">
        <is>
          <t>Theo doi quy mo du lieu</t>
        </is>
      </c>
      <c r="D5" s="2" t="n"/>
      <c r="E5" s="2" t="n"/>
      <c r="F5" s="2" t="n"/>
    </row>
    <row r="6">
      <c r="A6" s="2" t="inlineStr">
        <is>
          <t>Dong thieu trang thai</t>
        </is>
      </c>
      <c r="B6" s="2">
        <f>COUNTBLANK('Nhap lieu'!J5:J64)</f>
        <v/>
      </c>
      <c r="C6" s="2" t="inlineStr">
        <is>
          <t>Can bo sung de dashboard dung</t>
        </is>
      </c>
      <c r="D6" s="2" t="n"/>
      <c r="E6" s="2" t="n"/>
      <c r="F6" s="2" t="n"/>
    </row>
    <row r="7">
      <c r="A7" s="2" t="inlineStr">
        <is>
          <t>Dong thieu nguoi phu trach</t>
        </is>
      </c>
      <c r="B7" s="2">
        <f>COUNTBLANK('Nhap lieu'!I5:I64)</f>
        <v/>
      </c>
      <c r="C7" s="2" t="inlineStr">
        <is>
          <t>Can bo sung owner</t>
        </is>
      </c>
      <c r="D7" s="2" t="n"/>
      <c r="E7" s="2" t="n"/>
      <c r="F7" s="2" t="n"/>
    </row>
    <row r="8">
      <c r="A8" s="2" t="inlineStr">
        <is>
          <t>Dong can chu y</t>
        </is>
      </c>
      <c r="B8" s="2">
        <f>COUNTIF('Nhap lieu'!J5:J64,"Can chu y")</f>
        <v/>
      </c>
      <c r="C8" s="2" t="inlineStr">
        <is>
          <t>Can xu ly uu tien</t>
        </is>
      </c>
      <c r="D8" s="2" t="n"/>
      <c r="E8" s="2" t="n"/>
      <c r="F8" s="2" t="n"/>
    </row>
    <row r="9">
      <c r="A9" s="2" t="inlineStr">
        <is>
          <t>Gia tri am cot ke hoach</t>
        </is>
      </c>
      <c r="B9" s="2">
        <f>COUNTIF('Nhap lieu'!D5:D64,"&lt;0")</f>
        <v/>
      </c>
      <c r="C9" s="2" t="inlineStr">
        <is>
          <t>Khong nen co so am</t>
        </is>
      </c>
      <c r="D9" s="2" t="n"/>
      <c r="E9" s="2" t="n"/>
      <c r="F9" s="2" t="n"/>
    </row>
    <row r="10">
      <c r="A10" s="2" t="inlineStr">
        <is>
          <t>Gia tri am cot thuc hien</t>
        </is>
      </c>
      <c r="B10" s="2">
        <f>COUNTIF('Nhap lieu'!E5:E64,"&lt;0")</f>
        <v/>
      </c>
      <c r="C10" s="2" t="inlineStr">
        <is>
          <t>Khong nen co so am</t>
        </is>
      </c>
      <c r="D10" s="2" t="n"/>
      <c r="E10" s="2" t="n"/>
      <c r="F10" s="2" t="n"/>
    </row>
  </sheetData>
  <mergeCells count="2">
    <mergeCell ref="A2:F2"/>
    <mergeCell ref="A1:F1"/>
  </mergeCells>
  <conditionalFormatting sqref="B6:B10">
    <cfRule type="cellIs" priority="1" operator="greaterThan" dxfId="1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Bao cao dieu hanh</t>
        </is>
      </c>
      <c r="B1" s="2" t="n"/>
      <c r="C1" s="2" t="n"/>
      <c r="D1" s="2" t="n"/>
      <c r="E1" s="2" t="n"/>
      <c r="F1" s="2" t="n"/>
    </row>
    <row r="2">
      <c r="A2" s="3" t="inlineStr">
        <is>
          <t>Trang tom tat co the copy sang email, Word hoac PowerPoint.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4" t="inlineStr">
        <is>
          <t>Tom tat</t>
        </is>
      </c>
      <c r="B4" s="2" t="n"/>
      <c r="C4" s="2" t="n"/>
      <c r="D4" s="2" t="n"/>
      <c r="E4" s="2" t="n"/>
      <c r="F4" s="2" t="n"/>
    </row>
    <row r="5">
      <c r="A5" s="2" t="inlineStr">
        <is>
          <t>Template Dao tao Nhan su chuyen nghiep 2 da san sang cho nhap lieu, theo doi KPI va kiem tra chat luong.</t>
        </is>
      </c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4" t="inlineStr">
        <is>
          <t>Diem noi bat</t>
        </is>
      </c>
      <c r="B8" s="2" t="n"/>
      <c r="C8" s="2" t="n"/>
      <c r="D8" s="2" t="n"/>
      <c r="E8" s="2" t="n"/>
      <c r="F8" s="2" t="n"/>
    </row>
    <row r="9">
      <c r="A9" s="2" t="inlineStr">
        <is>
          <t>Co dashboard, bang du lieu co validation, chart, checklist loi va tu dien du lieu.</t>
        </is>
      </c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4" t="inlineStr">
        <is>
          <t>Hanh dong tiep theo</t>
        </is>
      </c>
      <c r="B12" s="2" t="n"/>
      <c r="C12" s="2" t="n"/>
      <c r="D12" s="2" t="n"/>
      <c r="E12" s="2" t="n"/>
      <c r="F12" s="2" t="n"/>
    </row>
    <row r="13">
      <c r="A13" s="2" t="inlineStr">
        <is>
          <t>Cap nhat sheet Nhap lieu, kiem tra tab Kiem tra, sau do dung Dashboard/Bao cao dieu hanh.</t>
        </is>
      </c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4" t="inlineStr">
        <is>
          <t>Rui ro can theo doi</t>
        </is>
      </c>
      <c r="B16" s="2" t="n"/>
      <c r="C16" s="2" t="n"/>
      <c r="D16" s="2" t="n"/>
      <c r="E16" s="2" t="n"/>
      <c r="F16" s="2" t="n"/>
    </row>
    <row r="17">
      <c r="A17" s="2" t="inlineStr">
        <is>
          <t>Dong co trang thai Can chu y, thieu owner, thieu trang thai hoac gia tri am.</t>
        </is>
      </c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</sheetData>
  <mergeCells count="10">
    <mergeCell ref="A2:F2"/>
    <mergeCell ref="A16:F16"/>
    <mergeCell ref="A1:F1"/>
    <mergeCell ref="A5:F6"/>
    <mergeCell ref="A8:F8"/>
    <mergeCell ref="A9:F10"/>
    <mergeCell ref="A17:F18"/>
    <mergeCell ref="A12:F12"/>
    <mergeCell ref="A4:F4"/>
    <mergeCell ref="A13:F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Danh muc dung chung</t>
        </is>
      </c>
      <c r="B1" s="2" t="n"/>
      <c r="C1" s="2" t="n"/>
      <c r="D1" s="2" t="n"/>
      <c r="E1" s="2" t="n"/>
    </row>
    <row r="2">
      <c r="A2" s="3" t="inlineStr">
        <is>
          <t>Dung cho dropdown, chuan hoa trang thai va nguoi phu trach.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Trang thai</t>
        </is>
      </c>
      <c r="B4" s="7" t="inlineStr">
        <is>
          <t>Nguoi phu trach</t>
        </is>
      </c>
      <c r="C4" s="7" t="inlineStr">
        <is>
          <t>Bo phan</t>
        </is>
      </c>
      <c r="D4" s="7" t="inlineStr">
        <is>
          <t>Muc do</t>
        </is>
      </c>
      <c r="E4" s="7" t="inlineStr">
        <is>
          <t>Ghi chu</t>
        </is>
      </c>
    </row>
    <row r="5">
      <c r="A5" s="2" t="inlineStr">
        <is>
          <t>Moi</t>
        </is>
      </c>
      <c r="B5" s="2" t="inlineStr">
        <is>
          <t>Nguyen An</t>
        </is>
      </c>
      <c r="C5" s="2" t="inlineStr">
        <is>
          <t>Kinh doanh</t>
        </is>
      </c>
      <c r="D5" s="2" t="inlineStr">
        <is>
          <t>Thap</t>
        </is>
      </c>
      <c r="E5" s="2" t="inlineStr">
        <is>
          <t>Co the thay doi theo doanh nghiep</t>
        </is>
      </c>
    </row>
    <row r="6">
      <c r="A6" s="2" t="inlineStr">
        <is>
          <t>Dang xu ly</t>
        </is>
      </c>
      <c r="B6" s="2" t="inlineStr">
        <is>
          <t>Tran Binh</t>
        </is>
      </c>
      <c r="C6" s="2" t="inlineStr">
        <is>
          <t>Tai chinh</t>
        </is>
      </c>
      <c r="D6" s="2" t="inlineStr">
        <is>
          <t>Trung binh</t>
        </is>
      </c>
      <c r="E6" s="2" t="inlineStr">
        <is>
          <t>Co the thay doi theo doanh nghiep</t>
        </is>
      </c>
    </row>
    <row r="7">
      <c r="A7" s="2" t="inlineStr">
        <is>
          <t>Dung tien do</t>
        </is>
      </c>
      <c r="B7" s="2" t="inlineStr">
        <is>
          <t>Le Chi</t>
        </is>
      </c>
      <c r="C7" s="2" t="inlineStr">
        <is>
          <t>Nhan su</t>
        </is>
      </c>
      <c r="D7" s="2" t="inlineStr">
        <is>
          <t>Cao</t>
        </is>
      </c>
      <c r="E7" s="2" t="inlineStr">
        <is>
          <t>Co the thay doi theo doanh nghiep</t>
        </is>
      </c>
    </row>
    <row r="8">
      <c r="A8" s="2" t="inlineStr">
        <is>
          <t>Can chu y</t>
        </is>
      </c>
      <c r="B8" s="2" t="inlineStr">
        <is>
          <t>Pham Dung</t>
        </is>
      </c>
      <c r="C8" s="2" t="inlineStr">
        <is>
          <t>Van hanh</t>
        </is>
      </c>
      <c r="D8" s="2" t="inlineStr">
        <is>
          <t>Thap</t>
        </is>
      </c>
      <c r="E8" s="2" t="inlineStr">
        <is>
          <t>Co the thay doi theo doanh nghiep</t>
        </is>
      </c>
    </row>
    <row r="9">
      <c r="A9" s="2" t="inlineStr">
        <is>
          <t>Hoan tat</t>
        </is>
      </c>
      <c r="B9" s="2" t="inlineStr">
        <is>
          <t>Hoang Linh</t>
        </is>
      </c>
      <c r="C9" s="2" t="inlineStr">
        <is>
          <t>Marketing</t>
        </is>
      </c>
      <c r="D9" s="2" t="inlineStr">
        <is>
          <t>Trung binh</t>
        </is>
      </c>
      <c r="E9" s="2" t="inlineStr">
        <is>
          <t>Co the thay doi theo doanh nghiep</t>
        </is>
      </c>
    </row>
    <row r="10">
      <c r="A10" s="2" t="inlineStr">
        <is>
          <t>Moi</t>
        </is>
      </c>
      <c r="B10" s="2" t="inlineStr">
        <is>
          <t>Do Mai</t>
        </is>
      </c>
      <c r="C10" s="2" t="inlineStr">
        <is>
          <t>Ban giam doc</t>
        </is>
      </c>
      <c r="D10" s="2" t="inlineStr">
        <is>
          <t>Cao</t>
        </is>
      </c>
      <c r="E10" s="2" t="inlineStr">
        <is>
          <t>Co the thay doi theo doanh nghiep</t>
        </is>
      </c>
    </row>
    <row r="11">
      <c r="A11" s="2" t="inlineStr">
        <is>
          <t>Dang xu ly</t>
        </is>
      </c>
      <c r="B11" s="2" t="inlineStr">
        <is>
          <t>Nguyen An</t>
        </is>
      </c>
      <c r="C11" s="2" t="inlineStr">
        <is>
          <t>Kinh doanh</t>
        </is>
      </c>
      <c r="D11" s="2" t="inlineStr">
        <is>
          <t>Thap</t>
        </is>
      </c>
      <c r="E11" s="2" t="inlineStr">
        <is>
          <t>Co the thay doi theo doanh nghiep</t>
        </is>
      </c>
    </row>
    <row r="12">
      <c r="A12" s="2" t="inlineStr">
        <is>
          <t>Dung tien do</t>
        </is>
      </c>
      <c r="B12" s="2" t="inlineStr">
        <is>
          <t>Tran Binh</t>
        </is>
      </c>
      <c r="C12" s="2" t="inlineStr">
        <is>
          <t>Tai chinh</t>
        </is>
      </c>
      <c r="D12" s="2" t="inlineStr">
        <is>
          <t>Trung binh</t>
        </is>
      </c>
      <c r="E12" s="2" t="inlineStr">
        <is>
          <t>Co the thay doi theo doanh nghiep</t>
        </is>
      </c>
    </row>
    <row r="13">
      <c r="A13" s="2" t="inlineStr">
        <is>
          <t>Can chu y</t>
        </is>
      </c>
      <c r="B13" s="2" t="inlineStr">
        <is>
          <t>Le Chi</t>
        </is>
      </c>
      <c r="C13" s="2" t="inlineStr">
        <is>
          <t>Nhan su</t>
        </is>
      </c>
      <c r="D13" s="2" t="inlineStr">
        <is>
          <t>Cao</t>
        </is>
      </c>
      <c r="E13" s="2" t="inlineStr">
        <is>
          <t>Co the thay doi theo doanh nghiep</t>
        </is>
      </c>
    </row>
    <row r="14">
      <c r="A14" s="2" t="inlineStr">
        <is>
          <t>Hoan tat</t>
        </is>
      </c>
      <c r="B14" s="2" t="inlineStr">
        <is>
          <t>Pham Dung</t>
        </is>
      </c>
      <c r="C14" s="2" t="inlineStr">
        <is>
          <t>Van hanh</t>
        </is>
      </c>
      <c r="D14" s="2" t="inlineStr">
        <is>
          <t>Thap</t>
        </is>
      </c>
      <c r="E14" s="2" t="inlineStr">
        <is>
          <t>Co the thay doi theo doanh nghiep</t>
        </is>
      </c>
    </row>
    <row r="15">
      <c r="A15" s="2" t="inlineStr">
        <is>
          <t>Moi</t>
        </is>
      </c>
      <c r="B15" s="2" t="inlineStr">
        <is>
          <t>Hoang Linh</t>
        </is>
      </c>
      <c r="C15" s="2" t="inlineStr">
        <is>
          <t>Marketing</t>
        </is>
      </c>
      <c r="D15" s="2" t="inlineStr">
        <is>
          <t>Trung binh</t>
        </is>
      </c>
      <c r="E15" s="2" t="inlineStr">
        <is>
          <t>Co the thay doi theo doanh nghiep</t>
        </is>
      </c>
    </row>
    <row r="16">
      <c r="A16" s="2" t="inlineStr">
        <is>
          <t>Dang xu ly</t>
        </is>
      </c>
      <c r="B16" s="2" t="inlineStr">
        <is>
          <t>Do Mai</t>
        </is>
      </c>
      <c r="C16" s="2" t="inlineStr">
        <is>
          <t>Ban giam doc</t>
        </is>
      </c>
      <c r="D16" s="2" t="inlineStr">
        <is>
          <t>Cao</t>
        </is>
      </c>
      <c r="E16" s="2" t="inlineStr">
        <is>
          <t>Co the thay doi theo doanh nghiep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2" customWidth="1" min="3" max="3"/>
  </cols>
  <sheetData>
    <row r="1">
      <c r="A1" s="1" t="inlineStr">
        <is>
          <t>Huong dan su dung template</t>
        </is>
      </c>
      <c r="B1" s="2" t="n"/>
      <c r="C1" s="2" t="n"/>
      <c r="D1" s="2" t="n"/>
      <c r="E1" s="2" t="n"/>
    </row>
    <row r="2">
      <c r="A2" s="3" t="inlineStr">
        <is>
          <t>Quy trinh de ap dung nhanh trong ExcelAI va Excel.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Buoc</t>
        </is>
      </c>
      <c r="B4" s="7" t="inlineStr">
        <is>
          <t>Khu vuc</t>
        </is>
      </c>
      <c r="C4" s="7" t="inlineStr">
        <is>
          <t>Mo ta</t>
        </is>
      </c>
      <c r="D4" s="2" t="n"/>
      <c r="E4" s="2" t="n"/>
    </row>
    <row r="5">
      <c r="A5" s="2" t="inlineStr">
        <is>
          <t>0</t>
        </is>
      </c>
      <c r="B5" s="2" t="inlineStr">
        <is>
          <t>Control Panel</t>
        </is>
      </c>
      <c r="C5" s="2" t="inlineStr">
        <is>
          <t>Dien tham so quan tri, nguong canh bao va nguoi so huu.</t>
        </is>
      </c>
      <c r="D5" s="2" t="n"/>
      <c r="E5" s="2" t="n"/>
    </row>
    <row r="6">
      <c r="A6" s="2" t="inlineStr">
        <is>
          <t>1</t>
        </is>
      </c>
      <c r="B6" s="2" t="inlineStr">
        <is>
          <t>Nhap lieu</t>
        </is>
      </c>
      <c r="C6" s="2" t="inlineStr">
        <is>
          <t>Cap nhat cac dong trong sheet Nhap lieu, khong xoa dong header.</t>
        </is>
      </c>
      <c r="D6" s="2" t="n"/>
      <c r="E6" s="2" t="n"/>
    </row>
    <row r="7">
      <c r="A7" s="2" t="inlineStr">
        <is>
          <t>2</t>
        </is>
      </c>
      <c r="B7" s="2" t="inlineStr">
        <is>
          <t>Kiem tra</t>
        </is>
      </c>
      <c r="C7" s="2" t="inlineStr">
        <is>
          <t>Dung filter va conditional formatting de tim dong can chu y.</t>
        </is>
      </c>
      <c r="D7" s="2" t="n"/>
      <c r="E7" s="2" t="n"/>
    </row>
    <row r="8">
      <c r="A8" s="2" t="inlineStr">
        <is>
          <t>3</t>
        </is>
      </c>
      <c r="B8" s="2" t="inlineStr">
        <is>
          <t>Dashboard</t>
        </is>
      </c>
      <c r="C8" s="2" t="inlineStr">
        <is>
          <t>Dashboard tu cap nhat bang cong thuc va bieu do.</t>
        </is>
      </c>
      <c r="D8" s="2" t="n"/>
      <c r="E8" s="2" t="n"/>
    </row>
    <row r="9">
      <c r="A9" s="2" t="inlineStr">
        <is>
          <t>4</t>
        </is>
      </c>
      <c r="B9" s="2" t="inlineStr">
        <is>
          <t>Tu dien du lieu</t>
        </is>
      </c>
      <c r="C9" s="2" t="inlineStr">
        <is>
          <t>Doc mo ta cot de map du lieu doanh nghiep vao template.</t>
        </is>
      </c>
      <c r="D9" s="2" t="n"/>
      <c r="E9" s="2" t="n"/>
    </row>
    <row r="10">
      <c r="A10" s="2" t="inlineStr">
        <is>
          <t>5</t>
        </is>
      </c>
      <c r="B10" s="2" t="inlineStr">
        <is>
          <t>Bao cao dieu hanh</t>
        </is>
      </c>
      <c r="C10" s="2" t="inlineStr">
        <is>
          <t>Copy noi dung tom tat sang email, Word hoac PowerPoint.</t>
        </is>
      </c>
      <c r="D10" s="2" t="n"/>
      <c r="E10" s="2" t="n"/>
    </row>
    <row r="11">
      <c r="A11" s="2" t="inlineStr">
        <is>
          <t>6</t>
        </is>
      </c>
      <c r="B11" s="2" t="inlineStr">
        <is>
          <t>Xuat bao cao</t>
        </is>
      </c>
      <c r="C11" s="2" t="inlineStr">
        <is>
          <t>Tai len ExcelAI de chat, lam sach, doi soat hoac tao bao cao.</t>
        </is>
      </c>
      <c r="D11" s="2" t="n"/>
      <c r="E11" s="2" t="n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2026-06-15T03:37:15Z</dcterms:created>
  <dcterms:modified xsi:type="dcterms:W3CDTF">2026-06-15T03:37:15Z</dcterms:modified>
</cp:coreProperties>
</file>